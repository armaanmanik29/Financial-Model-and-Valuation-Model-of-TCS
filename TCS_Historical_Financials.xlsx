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ompachakravarty/Desktop/"/>
    </mc:Choice>
  </mc:AlternateContent>
  <xr:revisionPtr revIDLastSave="0" documentId="13_ncr:1_{32DA6D05-D759-6D46-8E18-3950079EC5B8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Cover" sheetId="1" r:id="rId1"/>
    <sheet name="Income Statement" sheetId="2" r:id="rId2"/>
    <sheet name="Balance Sheet" sheetId="3" r:id="rId3"/>
    <sheet name="Cash Flow Statement" sheetId="4" r:id="rId4"/>
    <sheet name="Assumptions Sheet" sheetId="5" r:id="rId5"/>
    <sheet name="Projected P&amp;L" sheetId="6" r:id="rId6"/>
    <sheet name="Projected BS" sheetId="7" r:id="rId7"/>
    <sheet name="Projected CF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C7" i="3"/>
  <c r="E29" i="4"/>
  <c r="D30" i="4"/>
  <c r="E30" i="4"/>
  <c r="F29" i="4" s="1"/>
  <c r="F30" i="4" s="1"/>
  <c r="G29" i="4" s="1"/>
  <c r="G30" i="4" s="1"/>
  <c r="B29" i="8" s="1"/>
  <c r="D29" i="4"/>
  <c r="C30" i="4"/>
  <c r="C34" i="8"/>
  <c r="D34" i="8"/>
  <c r="E34" i="8"/>
  <c r="F34" i="8"/>
  <c r="B34" i="8"/>
  <c r="C26" i="8"/>
  <c r="D26" i="8"/>
  <c r="E26" i="8"/>
  <c r="F26" i="8"/>
  <c r="B26" i="8"/>
  <c r="C23" i="8"/>
  <c r="D23" i="8"/>
  <c r="E23" i="8"/>
  <c r="F23" i="8"/>
  <c r="B23" i="8"/>
  <c r="C22" i="8"/>
  <c r="D22" i="8"/>
  <c r="E22" i="8"/>
  <c r="E24" i="8" s="1"/>
  <c r="F22" i="8"/>
  <c r="B22" i="8"/>
  <c r="C21" i="8"/>
  <c r="D21" i="8"/>
  <c r="E21" i="8"/>
  <c r="F21" i="8"/>
  <c r="B21" i="8"/>
  <c r="C17" i="8"/>
  <c r="D17" i="8"/>
  <c r="E17" i="8"/>
  <c r="F17" i="8"/>
  <c r="B17" i="8"/>
  <c r="C16" i="8"/>
  <c r="D16" i="8"/>
  <c r="E16" i="8"/>
  <c r="F16" i="8"/>
  <c r="B16" i="8"/>
  <c r="C11" i="8"/>
  <c r="D11" i="8"/>
  <c r="E11" i="8"/>
  <c r="F11" i="8"/>
  <c r="B11" i="8"/>
  <c r="D10" i="8"/>
  <c r="E10" i="8" s="1"/>
  <c r="C10" i="8"/>
  <c r="B10" i="8"/>
  <c r="C9" i="8"/>
  <c r="D9" i="8"/>
  <c r="E9" i="8"/>
  <c r="F9" i="8"/>
  <c r="B9" i="8"/>
  <c r="B8" i="8"/>
  <c r="D24" i="8"/>
  <c r="D40" i="7"/>
  <c r="E40" i="7" s="1"/>
  <c r="F40" i="7" s="1"/>
  <c r="C40" i="7"/>
  <c r="B40" i="7"/>
  <c r="C38" i="7"/>
  <c r="D38" i="7"/>
  <c r="E38" i="7"/>
  <c r="F38" i="7"/>
  <c r="B38" i="7"/>
  <c r="C36" i="7"/>
  <c r="D36" i="7"/>
  <c r="E36" i="7"/>
  <c r="F36" i="7"/>
  <c r="B36" i="7"/>
  <c r="B32" i="7"/>
  <c r="C31" i="7"/>
  <c r="D31" i="7"/>
  <c r="E31" i="7"/>
  <c r="F31" i="7"/>
  <c r="B31" i="7"/>
  <c r="C25" i="7"/>
  <c r="D25" i="7"/>
  <c r="E25" i="7"/>
  <c r="F25" i="7"/>
  <c r="B25" i="7"/>
  <c r="C24" i="7"/>
  <c r="D24" i="7"/>
  <c r="E24" i="7"/>
  <c r="F24" i="7"/>
  <c r="B24" i="7"/>
  <c r="F23" i="7"/>
  <c r="C23" i="7"/>
  <c r="D23" i="7"/>
  <c r="E23" i="7"/>
  <c r="B23" i="7"/>
  <c r="C17" i="7"/>
  <c r="D17" i="7"/>
  <c r="E17" i="7"/>
  <c r="F17" i="7"/>
  <c r="B17" i="7"/>
  <c r="B16" i="7"/>
  <c r="C16" i="7" s="1"/>
  <c r="C15" i="7"/>
  <c r="D15" i="7"/>
  <c r="E15" i="7"/>
  <c r="F15" i="7"/>
  <c r="B15" i="7"/>
  <c r="B8" i="7"/>
  <c r="C8" i="7" s="1"/>
  <c r="D8" i="7" s="1"/>
  <c r="C30" i="6"/>
  <c r="D30" i="6" s="1"/>
  <c r="E30" i="6" s="1"/>
  <c r="F30" i="6" s="1"/>
  <c r="B30" i="6"/>
  <c r="C17" i="6"/>
  <c r="D17" i="6"/>
  <c r="E17" i="6"/>
  <c r="F17" i="6"/>
  <c r="B17" i="6"/>
  <c r="C16" i="6"/>
  <c r="D16" i="6"/>
  <c r="E16" i="6"/>
  <c r="F16" i="6"/>
  <c r="B16" i="6"/>
  <c r="C9" i="6"/>
  <c r="D9" i="6"/>
  <c r="E9" i="6"/>
  <c r="F9" i="6"/>
  <c r="B9" i="6"/>
  <c r="D6" i="6"/>
  <c r="D8" i="6" s="1"/>
  <c r="E6" i="6"/>
  <c r="E13" i="6" s="1"/>
  <c r="E8" i="8" s="1"/>
  <c r="F6" i="6"/>
  <c r="F13" i="6" s="1"/>
  <c r="F8" i="8" s="1"/>
  <c r="C6" i="6"/>
  <c r="C8" i="6" s="1"/>
  <c r="B6" i="6"/>
  <c r="B13" i="6" s="1"/>
  <c r="C12" i="2"/>
  <c r="D12" i="2"/>
  <c r="E12" i="2"/>
  <c r="F12" i="2"/>
  <c r="G12" i="2"/>
  <c r="C14" i="2"/>
  <c r="D14" i="2"/>
  <c r="E14" i="2"/>
  <c r="F14" i="2"/>
  <c r="G14" i="2"/>
  <c r="G34" i="4"/>
  <c r="F34" i="4"/>
  <c r="E34" i="4"/>
  <c r="D34" i="4"/>
  <c r="C34" i="4"/>
  <c r="G24" i="4"/>
  <c r="F24" i="4"/>
  <c r="E24" i="4"/>
  <c r="D24" i="4"/>
  <c r="C24" i="4"/>
  <c r="G18" i="4"/>
  <c r="F18" i="4"/>
  <c r="E18" i="4"/>
  <c r="D18" i="4"/>
  <c r="C18" i="4"/>
  <c r="G12" i="4"/>
  <c r="F12" i="4"/>
  <c r="E12" i="4"/>
  <c r="D12" i="4"/>
  <c r="C12" i="4"/>
  <c r="G39" i="3"/>
  <c r="F39" i="3"/>
  <c r="E39" i="3"/>
  <c r="D39" i="3"/>
  <c r="C39" i="3"/>
  <c r="G33" i="3"/>
  <c r="F33" i="3"/>
  <c r="E33" i="3"/>
  <c r="D33" i="3"/>
  <c r="C33" i="3"/>
  <c r="G28" i="3"/>
  <c r="G42" i="3" s="1"/>
  <c r="F28" i="3"/>
  <c r="F42" i="3" s="1"/>
  <c r="E28" i="3"/>
  <c r="E42" i="3" s="1"/>
  <c r="D28" i="3"/>
  <c r="D42" i="3" s="1"/>
  <c r="C28" i="3"/>
  <c r="C42" i="3" s="1"/>
  <c r="G18" i="3"/>
  <c r="F18" i="3"/>
  <c r="E18" i="3"/>
  <c r="D18" i="3"/>
  <c r="C18" i="3"/>
  <c r="G11" i="3"/>
  <c r="G20" i="3" s="1"/>
  <c r="G44" i="3" s="1"/>
  <c r="F11" i="3"/>
  <c r="F20" i="3" s="1"/>
  <c r="F44" i="3" s="1"/>
  <c r="E11" i="3"/>
  <c r="E20" i="3" s="1"/>
  <c r="E44" i="3" s="1"/>
  <c r="D11" i="3"/>
  <c r="D20" i="3" s="1"/>
  <c r="D44" i="3" s="1"/>
  <c r="C11" i="3"/>
  <c r="C20" i="3" s="1"/>
  <c r="C44" i="3" s="1"/>
  <c r="G10" i="2"/>
  <c r="F10" i="2"/>
  <c r="E10" i="2"/>
  <c r="D10" i="2"/>
  <c r="C10" i="2"/>
  <c r="C24" i="8" l="1"/>
  <c r="B15" i="8"/>
  <c r="B14" i="7" s="1"/>
  <c r="B18" i="7" s="1"/>
  <c r="F10" i="7"/>
  <c r="B33" i="7"/>
  <c r="E15" i="8"/>
  <c r="E18" i="8" s="1"/>
  <c r="F24" i="8"/>
  <c r="F15" i="8"/>
  <c r="F18" i="8" s="1"/>
  <c r="B24" i="8"/>
  <c r="D15" i="8"/>
  <c r="D18" i="8" s="1"/>
  <c r="C15" i="8"/>
  <c r="C18" i="8" s="1"/>
  <c r="F10" i="8"/>
  <c r="C9" i="7"/>
  <c r="E10" i="7"/>
  <c r="D13" i="6"/>
  <c r="D8" i="8" s="1"/>
  <c r="B9" i="7"/>
  <c r="D16" i="7"/>
  <c r="E16" i="7" s="1"/>
  <c r="F16" i="7" s="1"/>
  <c r="E8" i="7"/>
  <c r="F8" i="7" s="1"/>
  <c r="E27" i="7"/>
  <c r="C10" i="7"/>
  <c r="C32" i="7"/>
  <c r="D10" i="7"/>
  <c r="F9" i="7"/>
  <c r="B26" i="7"/>
  <c r="E9" i="7"/>
  <c r="F26" i="7"/>
  <c r="C27" i="7"/>
  <c r="D27" i="7"/>
  <c r="D9" i="7"/>
  <c r="E26" i="7"/>
  <c r="D26" i="7"/>
  <c r="B10" i="7"/>
  <c r="C26" i="7"/>
  <c r="B27" i="7"/>
  <c r="F27" i="7"/>
  <c r="C13" i="6"/>
  <c r="C8" i="8" s="1"/>
  <c r="D10" i="6"/>
  <c r="D12" i="6" s="1"/>
  <c r="D24" i="6" s="1"/>
  <c r="B8" i="6"/>
  <c r="B10" i="6" s="1"/>
  <c r="B12" i="6" s="1"/>
  <c r="E8" i="6"/>
  <c r="E10" i="6" s="1"/>
  <c r="E12" i="6" s="1"/>
  <c r="E24" i="6" s="1"/>
  <c r="C10" i="6"/>
  <c r="C12" i="6" s="1"/>
  <c r="F8" i="6"/>
  <c r="F10" i="6" s="1"/>
  <c r="F12" i="6" s="1"/>
  <c r="F24" i="6" s="1"/>
  <c r="G32" i="4"/>
  <c r="G33" i="4" s="1"/>
  <c r="G27" i="4"/>
  <c r="F32" i="4"/>
  <c r="F33" i="4" s="1"/>
  <c r="F27" i="4"/>
  <c r="E32" i="4"/>
  <c r="E33" i="4" s="1"/>
  <c r="E27" i="4"/>
  <c r="D32" i="4"/>
  <c r="D33" i="4" s="1"/>
  <c r="D27" i="4"/>
  <c r="C32" i="4"/>
  <c r="C27" i="4"/>
  <c r="G24" i="2"/>
  <c r="F24" i="2"/>
  <c r="E24" i="2"/>
  <c r="D24" i="2"/>
  <c r="C24" i="2"/>
  <c r="B18" i="8" l="1"/>
  <c r="D28" i="7"/>
  <c r="C14" i="7"/>
  <c r="F28" i="7"/>
  <c r="C28" i="7"/>
  <c r="B28" i="7"/>
  <c r="E28" i="7"/>
  <c r="D32" i="7"/>
  <c r="C33" i="7"/>
  <c r="D14" i="6"/>
  <c r="D25" i="6" s="1"/>
  <c r="E14" i="6"/>
  <c r="E25" i="6" s="1"/>
  <c r="C24" i="6"/>
  <c r="C14" i="6"/>
  <c r="C18" i="6" s="1"/>
  <c r="F14" i="6"/>
  <c r="F18" i="6" s="1"/>
  <c r="B14" i="6"/>
  <c r="B25" i="6" s="1"/>
  <c r="B24" i="6"/>
  <c r="G18" i="2"/>
  <c r="G20" i="2" s="1"/>
  <c r="G25" i="2"/>
  <c r="F18" i="2"/>
  <c r="F20" i="2" s="1"/>
  <c r="F25" i="2"/>
  <c r="E18" i="2"/>
  <c r="E20" i="2" s="1"/>
  <c r="E25" i="2"/>
  <c r="D18" i="2"/>
  <c r="D20" i="2" s="1"/>
  <c r="D25" i="2"/>
  <c r="C18" i="2"/>
  <c r="C20" i="2" s="1"/>
  <c r="C25" i="2"/>
  <c r="D14" i="7" l="1"/>
  <c r="C18" i="7"/>
  <c r="E32" i="7"/>
  <c r="D33" i="7"/>
  <c r="D18" i="6"/>
  <c r="D19" i="6" s="1"/>
  <c r="D20" i="6" s="1"/>
  <c r="D7" i="8" s="1"/>
  <c r="D12" i="8" s="1"/>
  <c r="E18" i="6"/>
  <c r="E19" i="6" s="1"/>
  <c r="E20" i="6" s="1"/>
  <c r="E7" i="8" s="1"/>
  <c r="E12" i="8" s="1"/>
  <c r="B18" i="6"/>
  <c r="B19" i="6" s="1"/>
  <c r="B20" i="6" s="1"/>
  <c r="B7" i="8" s="1"/>
  <c r="B12" i="8" s="1"/>
  <c r="F25" i="6"/>
  <c r="C25" i="6"/>
  <c r="C19" i="6"/>
  <c r="C20" i="6" s="1"/>
  <c r="C7" i="8" s="1"/>
  <c r="C12" i="8" s="1"/>
  <c r="F19" i="6"/>
  <c r="F20" i="6" s="1"/>
  <c r="F7" i="8" s="1"/>
  <c r="F12" i="8" s="1"/>
  <c r="G22" i="2"/>
  <c r="G26" i="2"/>
  <c r="F22" i="2"/>
  <c r="F26" i="2"/>
  <c r="E22" i="2"/>
  <c r="E26" i="2"/>
  <c r="D22" i="2"/>
  <c r="D26" i="2"/>
  <c r="C22" i="2"/>
  <c r="C26" i="2"/>
  <c r="D32" i="8" l="1"/>
  <c r="D33" i="8" s="1"/>
  <c r="D27" i="8"/>
  <c r="C32" i="8"/>
  <c r="C33" i="8" s="1"/>
  <c r="C27" i="8"/>
  <c r="B27" i="8"/>
  <c r="B30" i="8" s="1"/>
  <c r="B32" i="8"/>
  <c r="B33" i="8" s="1"/>
  <c r="F27" i="8"/>
  <c r="F32" i="8"/>
  <c r="F33" i="8" s="1"/>
  <c r="E32" i="8"/>
  <c r="E33" i="8" s="1"/>
  <c r="E27" i="8"/>
  <c r="E14" i="7"/>
  <c r="D18" i="7"/>
  <c r="F32" i="7"/>
  <c r="F33" i="7" s="1"/>
  <c r="E33" i="7"/>
  <c r="F26" i="6"/>
  <c r="F22" i="6"/>
  <c r="E26" i="6"/>
  <c r="E22" i="6"/>
  <c r="B26" i="6"/>
  <c r="B22" i="6"/>
  <c r="D26" i="6"/>
  <c r="D22" i="6"/>
  <c r="C22" i="6"/>
  <c r="C26" i="6"/>
  <c r="C29" i="8" l="1"/>
  <c r="C30" i="8" s="1"/>
  <c r="B7" i="7"/>
  <c r="B11" i="7" s="1"/>
  <c r="B20" i="7" s="1"/>
  <c r="B37" i="7" s="1"/>
  <c r="B39" i="7" s="1"/>
  <c r="B42" i="7" s="1"/>
  <c r="B44" i="7" s="1"/>
  <c r="F14" i="7"/>
  <c r="F18" i="7" s="1"/>
  <c r="E18" i="7"/>
  <c r="D28" i="6"/>
  <c r="D29" i="6"/>
  <c r="B28" i="6"/>
  <c r="B29" i="6"/>
  <c r="E28" i="6"/>
  <c r="E29" i="6"/>
  <c r="F29" i="6"/>
  <c r="F28" i="6"/>
  <c r="C28" i="6"/>
  <c r="C29" i="6"/>
  <c r="D29" i="8" l="1"/>
  <c r="D30" i="8" s="1"/>
  <c r="C7" i="7"/>
  <c r="C11" i="7" s="1"/>
  <c r="C20" i="7" s="1"/>
  <c r="C37" i="7" s="1"/>
  <c r="C39" i="7" s="1"/>
  <c r="C42" i="7" s="1"/>
  <c r="C44" i="7" s="1"/>
  <c r="E29" i="8" l="1"/>
  <c r="E30" i="8" s="1"/>
  <c r="D7" i="7"/>
  <c r="D11" i="7" s="1"/>
  <c r="D20" i="7" s="1"/>
  <c r="D37" i="7" s="1"/>
  <c r="D39" i="7" s="1"/>
  <c r="D42" i="7" s="1"/>
  <c r="D44" i="7" s="1"/>
  <c r="F29" i="8" l="1"/>
  <c r="E7" i="7"/>
  <c r="E11" i="7" s="1"/>
  <c r="E20" i="7" s="1"/>
  <c r="E37" i="7" s="1"/>
  <c r="E39" i="7" s="1"/>
  <c r="E42" i="7" s="1"/>
  <c r="E44" i="7" s="1"/>
  <c r="F30" i="8" l="1"/>
  <c r="F7" i="7" s="1"/>
  <c r="F11" i="7" s="1"/>
  <c r="F20" i="7" s="1"/>
  <c r="F37" i="7" l="1"/>
  <c r="F39" i="7" s="1"/>
  <c r="F42" i="7" s="1"/>
  <c r="F44" i="7" s="1"/>
</calcChain>
</file>

<file path=xl/sharedStrings.xml><?xml version="1.0" encoding="utf-8"?>
<sst xmlns="http://schemas.openxmlformats.org/spreadsheetml/2006/main" count="340" uniqueCount="216">
  <si>
    <t>TATA CONSULTANCY SERVICES (TCS)</t>
  </si>
  <si>
    <t>Historical Financial Statements  |  FY2020 – FY2024</t>
  </si>
  <si>
    <t>Exchange / Ticker</t>
  </si>
  <si>
    <t>NSE: TCS  |  BSE: 532540</t>
  </si>
  <si>
    <t>Sector</t>
  </si>
  <si>
    <t>Information Technology — IT Services &amp; Consulting</t>
  </si>
  <si>
    <t>Currency</t>
  </si>
  <si>
    <t>Indian Rupees (₹ Crores)</t>
  </si>
  <si>
    <t>Fiscal Year End</t>
  </si>
  <si>
    <t>March 31</t>
  </si>
  <si>
    <t>Historical Period</t>
  </si>
  <si>
    <t>FY2020 (Apr 2019 – Mar 2020) to FY2024 (Apr 2023 – Mar 2024)</t>
  </si>
  <si>
    <t>Reporting Standard</t>
  </si>
  <si>
    <t>IFRS (Consolidated)</t>
  </si>
  <si>
    <t>Last Updated</t>
  </si>
  <si>
    <t>May 2025</t>
  </si>
  <si>
    <t>Primary Data Source</t>
  </si>
  <si>
    <t>TCS Annual Reports, NSE/BSE Filings, Screener.in</t>
  </si>
  <si>
    <t>Sheets Included</t>
  </si>
  <si>
    <t>Income Statement</t>
  </si>
  <si>
    <t>Revenue, EBITDA, EBIT, PAT, margins &amp; EPS — FY2020–FY2024</t>
  </si>
  <si>
    <t>Balance Sheet</t>
  </si>
  <si>
    <t>Assets, Liabilities &amp; Equity as at March 31 — FY2020–FY2024</t>
  </si>
  <si>
    <t>Cash Flow Statement</t>
  </si>
  <si>
    <t>Operating, Investing &amp; Financing cash flows — FY2020–FY2024</t>
  </si>
  <si>
    <t>Colour Coding Guide</t>
  </si>
  <si>
    <t>Blue text</t>
  </si>
  <si>
    <t>Hardcoded inputs from source financials</t>
  </si>
  <si>
    <t>Black text</t>
  </si>
  <si>
    <t>Formulas / calculated values</t>
  </si>
  <si>
    <t>Green bg</t>
  </si>
  <si>
    <t>Key profit / cash flow subtotals</t>
  </si>
  <si>
    <t>Amber bg</t>
  </si>
  <si>
    <t>Pre-tax profit / investing outflows</t>
  </si>
  <si>
    <t>Grey bg</t>
  </si>
  <si>
    <t>Margin % and analytical rows</t>
  </si>
  <si>
    <t>TATA CONSULTANCY SERVICES — INCOME STATEMENT (Consolidated)</t>
  </si>
  <si>
    <t>₹ in Crores | Fiscal Year ends March 31 | Source: TCS Annual Reports / NSE Filings</t>
  </si>
  <si>
    <t>FY2020</t>
  </si>
  <si>
    <t>FY2021</t>
  </si>
  <si>
    <t>FY2022</t>
  </si>
  <si>
    <t>FY2023</t>
  </si>
  <si>
    <t>FY2024</t>
  </si>
  <si>
    <t>REVENUE</t>
  </si>
  <si>
    <t>Net Revenue (IT Services)</t>
  </si>
  <si>
    <t>OPERATING EXPENSES</t>
  </si>
  <si>
    <t xml:space="preserve">    Employee Costs &amp; Subcontracting</t>
  </si>
  <si>
    <t xml:space="preserve">    Other Operating Expenses</t>
  </si>
  <si>
    <t>Total Operating Expenses</t>
  </si>
  <si>
    <t>PROFITABILITY</t>
  </si>
  <si>
    <t>EBITDA</t>
  </si>
  <si>
    <t xml:space="preserve">    Less: Depreciation &amp; Amortisation</t>
  </si>
  <si>
    <t>EBIT (Operating Profit)</t>
  </si>
  <si>
    <t>BELOW THE LINE</t>
  </si>
  <si>
    <t xml:space="preserve">    Add: Other Income / Investment Income</t>
  </si>
  <si>
    <t xml:space="preserve">    Less: Finance Costs (Interest)</t>
  </si>
  <si>
    <t>Profit Before Tax (PBT)</t>
  </si>
  <si>
    <t xml:space="preserve">    Less: Tax Expense</t>
  </si>
  <si>
    <t>Profit After Tax (PAT)</t>
  </si>
  <si>
    <t xml:space="preserve">    Less: Minority Interest</t>
  </si>
  <si>
    <t>PAT Attributable to Shareholders</t>
  </si>
  <si>
    <t>KEY MARGINS</t>
  </si>
  <si>
    <t>EBITDA Margin %</t>
  </si>
  <si>
    <t>EBIT Margin %</t>
  </si>
  <si>
    <t>PAT Margin %</t>
  </si>
  <si>
    <t>PER SHARE DATA</t>
  </si>
  <si>
    <t>EPS (₹) — Basic</t>
  </si>
  <si>
    <t>Dividend Per Share (₹)</t>
  </si>
  <si>
    <t>Shares Outstanding (Billion)</t>
  </si>
  <si>
    <t>Source: TCS Annual Reports FY2020–FY2024, NSE/BSE Filings, Screener.in (Consolidated IFRS). All figures in ₹ Crores.</t>
  </si>
  <si>
    <t>TATA CONSULTANCY SERVICES — BALANCE SHEET (Consolidated)</t>
  </si>
  <si>
    <t>₹ in Crores | As at March 31 | Source: TCS Annual Reports / NSE Filings</t>
  </si>
  <si>
    <t>ASSETS</t>
  </si>
  <si>
    <t>Current Assets</t>
  </si>
  <si>
    <t xml:space="preserve">    Cash &amp; Cash Equivalents</t>
  </si>
  <si>
    <t xml:space="preserve">    Short-term Investments / Deposits</t>
  </si>
  <si>
    <t xml:space="preserve">    Trade Receivables</t>
  </si>
  <si>
    <t xml:space="preserve">    Other Current Assets</t>
  </si>
  <si>
    <t>Total Current Assets</t>
  </si>
  <si>
    <t>Non-Current Assets</t>
  </si>
  <si>
    <t xml:space="preserve">    Property, Plant &amp; Equipment (Net)</t>
  </si>
  <si>
    <t xml:space="preserve">    Goodwill &amp; Intangibles</t>
  </si>
  <si>
    <t xml:space="preserve">    Long-term Investments</t>
  </si>
  <si>
    <t xml:space="preserve">    Other Non-Current Assets</t>
  </si>
  <si>
    <t>Total Non-Current Assets</t>
  </si>
  <si>
    <t>TOTAL ASSETS</t>
  </si>
  <si>
    <t>LIABILITIES &amp; EQUITY</t>
  </si>
  <si>
    <t>Current Liabilities</t>
  </si>
  <si>
    <t xml:space="preserve">    Trade Payables &amp; Accrued Expenses</t>
  </si>
  <si>
    <t xml:space="preserve">    Current Portion of Lease Liabilities</t>
  </si>
  <si>
    <t xml:space="preserve">    Income Tax Payable</t>
  </si>
  <si>
    <t xml:space="preserve">    Unearned / Deferred Revenue</t>
  </si>
  <si>
    <t xml:space="preserve">    Other Current Liabilities</t>
  </si>
  <si>
    <t>Total Current Liabilities</t>
  </si>
  <si>
    <t>Non-Current Liabilities</t>
  </si>
  <si>
    <t xml:space="preserve">    Long-term Lease Liabilities</t>
  </si>
  <si>
    <t xml:space="preserve">    Other Long-term Liabilities</t>
  </si>
  <si>
    <t>Total Non-Current Liabilities</t>
  </si>
  <si>
    <t>Shareholders' Equity</t>
  </si>
  <si>
    <t xml:space="preserve">    Equity Share Capital</t>
  </si>
  <si>
    <t xml:space="preserve">    Retained Earnings</t>
  </si>
  <si>
    <t xml:space="preserve">    Other Equity &amp; Reserves</t>
  </si>
  <si>
    <t>Total Equity (excl. Minority)</t>
  </si>
  <si>
    <t xml:space="preserve">    Minority / Non-Controlling Interest</t>
  </si>
  <si>
    <t>TOTAL LIABILITIES &amp; EQUITY</t>
  </si>
  <si>
    <t>Balance Check (Assets – L&amp;E, should be 0)</t>
  </si>
  <si>
    <t>Source: TCS Annual Reports FY2020–FY2024, NSE/BSE Filings, StockAnalysis.com (S&amp;P Global). All figures in ₹ Crores.</t>
  </si>
  <si>
    <t>TATA CONSULTANCY SERVICES — CASH FLOW STATEMENT (Consolidated)</t>
  </si>
  <si>
    <t>A. OPERATING ACTIVITIES</t>
  </si>
  <si>
    <t>Profit After Tax</t>
  </si>
  <si>
    <t>Add: Depreciation &amp; Amortisation</t>
  </si>
  <si>
    <t>Changes in Working Capital</t>
  </si>
  <si>
    <t>Tax Adjustments &amp; Deferred Tax</t>
  </si>
  <si>
    <t>Other Non-Cash / Adjustments</t>
  </si>
  <si>
    <t>Net Cash from Operating Activities (CFO)</t>
  </si>
  <si>
    <t>B. INVESTING ACTIVITIES</t>
  </si>
  <si>
    <t>Capital Expenditure (Capex)</t>
  </si>
  <si>
    <t>Acquisitions / Business Combinations</t>
  </si>
  <si>
    <t>Net Purchase / (Sale) of Investments</t>
  </si>
  <si>
    <t>Net Cash from Investing Activities (CFI)</t>
  </si>
  <si>
    <t>C. FINANCING ACTIVITIES</t>
  </si>
  <si>
    <t>Dividends Paid</t>
  </si>
  <si>
    <t>Share Buyback</t>
  </si>
  <si>
    <t>Finance Costs Paid</t>
  </si>
  <si>
    <t>Net Cash from Financing Activities (CFF)</t>
  </si>
  <si>
    <t>D. NET MOVEMENT</t>
  </si>
  <si>
    <t>Effect of Exchange Rate Changes on Cash</t>
  </si>
  <si>
    <t>Net Increase / (Decrease) in Cash</t>
  </si>
  <si>
    <t>Opening Cash &amp; Cash Equivalents</t>
  </si>
  <si>
    <t>Closing Cash &amp; Cash Equivalents</t>
  </si>
  <si>
    <t>FREE CASH FLOW SUMMARY</t>
  </si>
  <si>
    <t>Free Cash Flow (CFO + Capex)</t>
  </si>
  <si>
    <t>FCF Conversion (FCF / PAT)</t>
  </si>
  <si>
    <t>Capex / Revenue (Capex Intensity)</t>
  </si>
  <si>
    <t xml:space="preserve">    </t>
  </si>
  <si>
    <t>TCS — PROJECTION ASSUMPTIONS  |  FY2025E – FY2029E</t>
  </si>
  <si>
    <t>Blue cells = editable inputs  |  Black cells = formulas  |  All ₹ figures in Crores</t>
  </si>
  <si>
    <t>Assumption</t>
  </si>
  <si>
    <t>FY25E</t>
  </si>
  <si>
    <t>FY26E</t>
  </si>
  <si>
    <t>FY27E</t>
  </si>
  <si>
    <t>FY28E</t>
  </si>
  <si>
    <t>FY29E</t>
  </si>
  <si>
    <t>Rationale / How We Got This</t>
  </si>
  <si>
    <t>INCOME STATEMENT ASSUMPTIONS</t>
  </si>
  <si>
    <t>Revenue Growth %</t>
  </si>
  <si>
    <t>Historical 4-yr CAGR is 11.3%, but FY24 slowed to 6.8% due to weak BFSI demand. Start conservative at 7%, recover as AI/cloud spend picks up, then taper back toward end of period.</t>
  </si>
  <si>
    <t>Employee Cost % of Revenue</t>
  </si>
  <si>
    <t>Stable between 59.7%–62.2% historically. Slight improvement assumed as automation and pyramid optimisation offset ongoing wage inflation.</t>
  </si>
  <si>
    <t>Other Opex % of Revenue</t>
  </si>
  <si>
    <t>Trending down from 11.9% (FY21) → 11.2% (FY24). Modest operating leverage on fixed cost base as revenue scales.</t>
  </si>
  <si>
    <t>D&amp;A % of Revenue</t>
  </si>
  <si>
    <t>Flat at 2.1–2.2% across all 5 historical years. No major new capex cycle expected; held stable.</t>
  </si>
  <si>
    <t>Other Income (₹ Cr)</t>
  </si>
  <si>
    <t>FY22–FY24 averaged ~₹3,644 Cr (excluding the FY21 anomaly of ₹1,916 Cr). Gentle growth as cash &amp; investment balances build over time.</t>
  </si>
  <si>
    <t>Finance Costs (₹ Cr)</t>
  </si>
  <si>
    <t>Essentially flat at ₹778–779 Cr for three consecutive years. TCS carries no significant financial debt; held constant.</t>
  </si>
  <si>
    <t>Effective Tax Rate %</t>
  </si>
  <si>
    <t>Remarkably stable at 25.6% every year since FY21. Rounded to 25.5% as a clean, stable forward assumption.</t>
  </si>
  <si>
    <t>CASH FLOW ASSUMPTIONS</t>
  </si>
  <si>
    <t>Capex % of Revenue</t>
  </si>
  <si>
    <t>Held flat at FY23–FY24 average of 1.6%. TCS is highly asset-light; no major infrastructure or capacity build-out expected over the projection period.</t>
  </si>
  <si>
    <t>FY2025</t>
  </si>
  <si>
    <t>FY2026</t>
  </si>
  <si>
    <t>FY2027</t>
  </si>
  <si>
    <t>FY2028</t>
  </si>
  <si>
    <t>FY2029</t>
  </si>
  <si>
    <t>BALANCE SHEET ASSUMPTIONS</t>
  </si>
  <si>
    <t>Short-Term Investments- growth</t>
  </si>
  <si>
    <t>Grew at ~7% CAGR (FY20–FY24): ₹25,990 → ₹34,567 Cr. Surplus FCF gets parked here. Slight moderation as shareholder payouts increase.</t>
  </si>
  <si>
    <t>Trade Receivables - DSO(days)</t>
  </si>
  <si>
    <t>DSO stable at ~77–90 days historically. FY24 implied DSO ≈ 90 days. Held at 88 days; a 1-day tightening in later years reflects minor collections improvement. Formula: DSO × Revenue ÷ 365.</t>
  </si>
  <si>
    <t>Other Current Assets - % of revenue</t>
  </si>
  <si>
    <t>Range was 2.0%–3.9% historically. FY24 was 3.7%. Held near that level — includes prepayments, advance tax, and other receivables that scale broadly with revenue.</t>
  </si>
  <si>
    <t>Goodwill and Intangibles</t>
  </si>
  <si>
    <t>Flat at ~₹1,830 Cr (FY24: ₹1,832 Cr). Minimal M&amp;A activity assumed; small amortisation offset by any bolt-on acquisitions. Adjust if a large deal is modelled.</t>
  </si>
  <si>
    <t>Long term Investments - Annual addition</t>
  </si>
  <si>
    <t>Grew from ₹720 → ₹2,280 Cr over 4 years. Represents strategic equity stakes and associate investments. Adding ~₹250 Cr/yr is consistent with the recent pace.</t>
  </si>
  <si>
    <t>Other Non Current Assets - % of revenue</t>
  </si>
  <si>
    <t>Trade Payables - DPO (days)</t>
  </si>
  <si>
    <t>Dominated by salary accruals (employee cost is ~61% of revenue). DPO on total opex was ~46–60 days. Formula: DPO × Total Opex ÷ 365. Slight tightening in later years as operational efficiency improves.</t>
  </si>
  <si>
    <t>Current lease liabilities (in Cr.)</t>
  </si>
  <si>
    <t>Flat historically at ₹1,200–₹1,505 Cr (current portion of operating leases). Grown ~2–3% YoY for gradual office footprint additions globally.</t>
  </si>
  <si>
    <t>income Tax Payable - % of tax expense</t>
  </si>
  <si>
    <t>Rose from ₹5,500 → ₹11,433 Cr tracking profitability. ~70–75% of the annual tax charge sits unpaid at year-end (advance tax timing). Linked to projected tax expense × 72%.</t>
  </si>
  <si>
    <t>Unearned Revenues - % of revenue</t>
  </si>
  <si>
    <t>Extremely stable at 2.0–2.1% of revenue across all 5 years. Represents advance billing on multi-year IT contracts. Hold flat.</t>
  </si>
  <si>
    <t>Other Current Liabilities - % of revenue</t>
  </si>
  <si>
    <t>Range ₹2,202–₹3,427 Cr (1.0%–1.5% of revenue). Includes statutory dues and employee-related payables. FY24: ~1.4%. Conservative at 1.3%.</t>
  </si>
  <si>
    <t>Long term lease liabilities - growth</t>
  </si>
  <si>
    <t>Flat at ₹6,200–₹6,516 Cr historically. TCS has a large global real-estate footprint. Growing ~1.5% YoY for incremental lease additions and renewals at higher rents.</t>
  </si>
  <si>
    <t>Other long term liabilites- growth</t>
  </si>
  <si>
    <t>Equity Share Capital (In Cr)</t>
  </si>
  <si>
    <t>Declining ₹375 → ₹362 Cr (FY20–FY24) due to buybacks. Assumes ~1 buyback every 2 years; share capital reduces ~₹3 Cr/yr on average.</t>
  </si>
  <si>
    <t>Other Equity &amp; reserves (in Cr)</t>
  </si>
  <si>
    <t>Includes share premium, FVOCI reserves, hedging reserves. FY24: ₹3,700 Cr. Grown ~2% YoY — not a material driver; held near stable.</t>
  </si>
  <si>
    <t>Minority interest - growth</t>
  </si>
  <si>
    <t>Steadily rising: ₹600 → ₹830 Cr. Represents NCI in TCS subsidiaries (e.g. TCS Japan, TCS ibis). Grown ~5% YoY consistently — hold at that rate.</t>
  </si>
  <si>
    <t>TATA CONSULTANCY SERVICES — BALANCE SHEET (Projected)</t>
  </si>
  <si>
    <t xml:space="preserve">Acquisitions (in Cr) </t>
  </si>
  <si>
    <t>Historical range ₹150–₹500 Cr/yr. TCS does bolt-on acquisitions, not transformational deals. Modest ~₹400–500 Cr/yr assumed.</t>
  </si>
  <si>
    <t xml:space="preserve">Net investment purchases (In Cr) </t>
  </si>
  <si>
    <t>Highly variable historically (−₹5,200 to +₹1,500 Cr). Assume a moderate net outflow as TCS continues building its long-term investment portfolio steadily.</t>
  </si>
  <si>
    <t>Dvidends Paid (Cr)</t>
  </si>
  <si>
    <t>Derived as DPS × shares outstanding. Payout ratio ~45% of PAT as regular dividends. Historically variable (special dividends cause spikes); normalised here to a ~45% ordinary payout.</t>
  </si>
  <si>
    <t>Share buybacks (in Cr)</t>
  </si>
  <si>
    <t>_</t>
  </si>
  <si>
    <t>TCS has done 3 buybacks in 5 years (FY21: ₹16,000 Cr, FY22: ₹18,000 Cr, FY24: ₹17,000 Cr). Pattern suggests ~every alternate year. Modelled accordingly with slight size increase.</t>
  </si>
  <si>
    <t>Finance costs paid (in Cr)</t>
  </si>
  <si>
    <t>Mirrors finance cost in P&amp;L — flat at ₹780 Cr. TCS has no bank debt; this is purely lease interest.</t>
  </si>
  <si>
    <t>Forex impact on cash (in Cr)</t>
  </si>
  <si>
    <t>Working Capital Changes</t>
  </si>
  <si>
    <t>Small and variable (±₹200 Cr historically). Held at a nominal +₹100 Cr/yr — immaterial to the model.</t>
  </si>
  <si>
    <t>Negative in FY22–FY24 (receivables growing with revenue). As revenue grows, working capital absorbs more cash. Mild outflow increasing in line with revenue scale.</t>
  </si>
  <si>
    <t>TATA CONSULTANCY SERVICES — INCOME STATEMENT (Projected)</t>
  </si>
  <si>
    <t>TATA CONSULTANCY SERVICES — CASH FLOW STATEMENT (Projected)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</si>
</sst>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#,##0.00;\(#,##0.00\);\-"/>
    <numFmt numFmtId="167" formatCode="0.0%"/>
    <numFmt numFmtId="176" formatCode="0_);\(0\)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E2EFDA"/>
      <name val="Arial"/>
      <family val="2"/>
    </font>
    <font>
      <b/>
      <sz val="10"/>
      <color rgb="FFFFF2CC"/>
      <name val="Arial"/>
      <family val="2"/>
    </font>
    <font>
      <b/>
      <sz val="10"/>
      <color rgb="FFF2F2F2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i/>
      <sz val="8"/>
      <color rgb="FF595959"/>
      <name val="Arial"/>
      <family val="2"/>
    </font>
    <font>
      <b/>
      <sz val="14"/>
      <color rgb="FFFFFFFF"/>
      <name val="Arial"/>
      <family val="2"/>
    </font>
    <font>
      <b/>
      <sz val="10"/>
      <color rgb="FF1F4E79"/>
      <name val="Arial"/>
      <family val="2"/>
    </font>
    <font>
      <sz val="9"/>
      <color rgb="FF404040"/>
      <name val="Arial"/>
      <family val="2"/>
    </font>
    <font>
      <sz val="11"/>
      <color theme="4" tint="-0.249977111117893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6E4F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9C4"/>
        <bgColor rgb="FFFFFF99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6" fillId="7" borderId="0" xfId="0" applyFont="1" applyFill="1" applyAlignment="1">
      <alignment horizontal="lef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8" borderId="0" xfId="0" applyFont="1" applyFill="1" applyAlignment="1">
      <alignment horizontal="left" vertical="center"/>
    </xf>
    <xf numFmtId="164" fontId="6" fillId="8" borderId="3" xfId="0" applyNumberFormat="1" applyFont="1" applyFill="1" applyBorder="1" applyAlignment="1">
      <alignment horizontal="right" vertical="center"/>
    </xf>
    <xf numFmtId="164" fontId="6" fillId="8" borderId="1" xfId="0" applyNumberFormat="1" applyFont="1" applyFill="1" applyBorder="1" applyAlignment="1">
      <alignment horizontal="right" vertical="center"/>
    </xf>
    <xf numFmtId="0" fontId="6" fillId="9" borderId="0" xfId="0" applyFont="1" applyFill="1" applyAlignment="1">
      <alignment horizontal="left" vertical="center"/>
    </xf>
    <xf numFmtId="164" fontId="6" fillId="9" borderId="2" xfId="0" applyNumberFormat="1" applyFont="1" applyFill="1" applyBorder="1" applyAlignment="1">
      <alignment horizontal="right" vertical="center"/>
    </xf>
    <xf numFmtId="164" fontId="6" fillId="8" borderId="2" xfId="0" applyNumberFormat="1" applyFont="1" applyFill="1" applyBorder="1" applyAlignment="1">
      <alignment horizontal="right" vertical="center"/>
    </xf>
    <xf numFmtId="164" fontId="6" fillId="8" borderId="4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165" fontId="4" fillId="6" borderId="0" xfId="0" applyNumberFormat="1" applyFont="1" applyFill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0" fontId="11" fillId="9" borderId="0" xfId="0" applyFont="1" applyFill="1" applyAlignment="1">
      <alignment horizontal="left" vertical="center"/>
    </xf>
    <xf numFmtId="164" fontId="4" fillId="9" borderId="0" xfId="0" applyNumberFormat="1" applyFont="1" applyFill="1" applyAlignment="1">
      <alignment horizontal="right" vertical="center"/>
    </xf>
    <xf numFmtId="164" fontId="6" fillId="8" borderId="5" xfId="0" applyNumberFormat="1" applyFont="1" applyFill="1" applyBorder="1" applyAlignment="1">
      <alignment horizontal="right" vertical="center"/>
    </xf>
    <xf numFmtId="164" fontId="6" fillId="9" borderId="5" xfId="0" applyNumberFormat="1" applyFont="1" applyFill="1" applyBorder="1" applyAlignment="1">
      <alignment horizontal="right" vertical="center"/>
    </xf>
    <xf numFmtId="164" fontId="6" fillId="4" borderId="5" xfId="0" applyNumberFormat="1" applyFont="1" applyFill="1" applyBorder="1" applyAlignment="1">
      <alignment horizontal="right" vertical="center"/>
    </xf>
    <xf numFmtId="164" fontId="6" fillId="8" borderId="6" xfId="0" applyNumberFormat="1" applyFont="1" applyFill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7" fillId="8" borderId="4" xfId="0" applyNumberFormat="1" applyFont="1" applyFill="1" applyBorder="1" applyAlignment="1">
      <alignment horizontal="right" vertical="center"/>
    </xf>
    <xf numFmtId="164" fontId="6" fillId="8" borderId="0" xfId="0" applyNumberFormat="1" applyFont="1" applyFill="1" applyAlignment="1">
      <alignment horizontal="right" vertical="center"/>
    </xf>
    <xf numFmtId="0" fontId="3" fillId="3" borderId="8" xfId="0" applyFont="1" applyFill="1" applyBorder="1" applyAlignment="1">
      <alignment horizontal="left" vertical="center" indent="1"/>
    </xf>
    <xf numFmtId="0" fontId="3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13" borderId="8" xfId="0" applyFont="1" applyFill="1" applyBorder="1" applyAlignment="1">
      <alignment horizontal="left" vertical="center" indent="1"/>
    </xf>
    <xf numFmtId="167" fontId="12" fillId="14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left" vertical="center" wrapText="1" indent="1"/>
    </xf>
    <xf numFmtId="0" fontId="4" fillId="5" borderId="8" xfId="0" applyFont="1" applyFill="1" applyBorder="1" applyAlignment="1">
      <alignment horizontal="left" vertical="center" indent="1"/>
    </xf>
    <xf numFmtId="0" fontId="16" fillId="5" borderId="8" xfId="0" applyFont="1" applyFill="1" applyBorder="1" applyAlignment="1">
      <alignment horizontal="left" vertical="center" wrapText="1" indent="1"/>
    </xf>
    <xf numFmtId="164" fontId="12" fillId="14" borderId="8" xfId="0" applyNumberFormat="1" applyFont="1" applyFill="1" applyBorder="1" applyAlignment="1">
      <alignment horizontal="center" vertical="center"/>
    </xf>
    <xf numFmtId="2" fontId="17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10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left" vertical="center" indent="1"/>
    </xf>
    <xf numFmtId="0" fontId="12" fillId="14" borderId="8" xfId="0" applyNumberFormat="1" applyFont="1" applyFill="1" applyBorder="1" applyAlignment="1">
      <alignment horizontal="center" vertical="center"/>
    </xf>
    <xf numFmtId="9" fontId="12" fillId="14" borderId="8" xfId="0" applyNumberFormat="1" applyFont="1" applyFill="1" applyBorder="1" applyAlignment="1">
      <alignment horizontal="center" vertical="center"/>
    </xf>
    <xf numFmtId="176" fontId="12" fillId="14" borderId="8" xfId="0" applyNumberFormat="1" applyFont="1" applyFill="1" applyBorder="1" applyAlignment="1">
      <alignment horizontal="center" vertical="center"/>
    </xf>
    <xf numFmtId="1" fontId="12" fillId="14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4"/>
  <sheetViews>
    <sheetView showGridLines="0" zoomScaleNormal="100" workbookViewId="0">
      <selection activeCell="B15" sqref="B15:C15"/>
    </sheetView>
  </sheetViews>
  <sheetFormatPr baseColWidth="10" defaultColWidth="8.6640625" defaultRowHeight="15" x14ac:dyDescent="0.2"/>
  <cols>
    <col min="1" max="1" width="4" customWidth="1"/>
    <col min="2" max="2" width="74.33203125" customWidth="1"/>
    <col min="3" max="3" width="104.83203125" customWidth="1"/>
  </cols>
  <sheetData>
    <row r="1" spans="2:3" ht="19.5" customHeight="1" x14ac:dyDescent="0.2"/>
    <row r="2" spans="2:3" ht="39.75" customHeight="1" x14ac:dyDescent="0.2">
      <c r="B2" s="47" t="s">
        <v>0</v>
      </c>
      <c r="C2" s="47"/>
    </row>
    <row r="3" spans="2:3" ht="25.5" customHeight="1" x14ac:dyDescent="0.2">
      <c r="B3" s="48" t="s">
        <v>1</v>
      </c>
      <c r="C3" s="48"/>
    </row>
    <row r="4" spans="2:3" ht="19.5" customHeight="1" x14ac:dyDescent="0.2"/>
    <row r="5" spans="2:3" ht="19.5" customHeight="1" x14ac:dyDescent="0.2">
      <c r="B5" s="1" t="s">
        <v>2</v>
      </c>
      <c r="C5" s="3" t="s">
        <v>3</v>
      </c>
    </row>
    <row r="6" spans="2:3" ht="19.5" customHeight="1" x14ac:dyDescent="0.2">
      <c r="B6" s="1" t="s">
        <v>4</v>
      </c>
      <c r="C6" s="3" t="s">
        <v>5</v>
      </c>
    </row>
    <row r="7" spans="2:3" ht="19.5" customHeight="1" x14ac:dyDescent="0.2">
      <c r="B7" s="1" t="s">
        <v>6</v>
      </c>
      <c r="C7" s="3" t="s">
        <v>7</v>
      </c>
    </row>
    <row r="8" spans="2:3" ht="19.5" customHeight="1" x14ac:dyDescent="0.2">
      <c r="B8" s="1" t="s">
        <v>8</v>
      </c>
      <c r="C8" s="3" t="s">
        <v>9</v>
      </c>
    </row>
    <row r="9" spans="2:3" ht="19.5" customHeight="1" x14ac:dyDescent="0.2">
      <c r="B9" s="1" t="s">
        <v>10</v>
      </c>
      <c r="C9" s="3" t="s">
        <v>11</v>
      </c>
    </row>
    <row r="10" spans="2:3" ht="19.5" customHeight="1" x14ac:dyDescent="0.2">
      <c r="B10" s="1" t="s">
        <v>12</v>
      </c>
      <c r="C10" s="3" t="s">
        <v>13</v>
      </c>
    </row>
    <row r="11" spans="2:3" ht="19.5" customHeight="1" x14ac:dyDescent="0.2">
      <c r="B11" s="1" t="s">
        <v>14</v>
      </c>
      <c r="C11" s="3" t="s">
        <v>15</v>
      </c>
    </row>
    <row r="12" spans="2:3" ht="19.5" customHeight="1" x14ac:dyDescent="0.2">
      <c r="B12" s="1" t="s">
        <v>16</v>
      </c>
      <c r="C12" s="3" t="s">
        <v>17</v>
      </c>
    </row>
    <row r="13" spans="2:3" ht="19.5" customHeight="1" x14ac:dyDescent="0.2"/>
    <row r="14" spans="2:3" ht="9.75" customHeight="1" x14ac:dyDescent="0.2"/>
    <row r="15" spans="2:3" ht="19.5" customHeight="1" x14ac:dyDescent="0.2">
      <c r="B15" s="49" t="s">
        <v>18</v>
      </c>
      <c r="C15" s="49"/>
    </row>
    <row r="16" spans="2:3" ht="19.5" customHeight="1" x14ac:dyDescent="0.2">
      <c r="B16" s="4" t="s">
        <v>19</v>
      </c>
      <c r="C16" s="5" t="s">
        <v>20</v>
      </c>
    </row>
    <row r="17" spans="2:3" ht="19.5" customHeight="1" x14ac:dyDescent="0.2">
      <c r="B17" s="4" t="s">
        <v>21</v>
      </c>
      <c r="C17" s="5" t="s">
        <v>22</v>
      </c>
    </row>
    <row r="18" spans="2:3" ht="19.5" customHeight="1" x14ac:dyDescent="0.2">
      <c r="B18" s="4" t="s">
        <v>23</v>
      </c>
      <c r="C18" s="5" t="s">
        <v>24</v>
      </c>
    </row>
    <row r="19" spans="2:3" ht="19.5" customHeight="1" x14ac:dyDescent="0.2"/>
    <row r="20" spans="2:3" ht="9.75" customHeight="1" x14ac:dyDescent="0.2"/>
    <row r="21" spans="2:3" ht="19.5" customHeight="1" x14ac:dyDescent="0.2">
      <c r="B21" s="50" t="s">
        <v>25</v>
      </c>
      <c r="C21" s="50"/>
    </row>
    <row r="22" spans="2:3" ht="19.5" customHeight="1" x14ac:dyDescent="0.2">
      <c r="B22" s="6" t="s">
        <v>26</v>
      </c>
      <c r="C22" s="7" t="s">
        <v>27</v>
      </c>
    </row>
    <row r="23" spans="2:3" ht="19.5" customHeight="1" x14ac:dyDescent="0.2">
      <c r="B23" s="8" t="s">
        <v>28</v>
      </c>
      <c r="C23" s="7" t="s">
        <v>29</v>
      </c>
    </row>
    <row r="24" spans="2:3" ht="19.5" customHeight="1" x14ac:dyDescent="0.2">
      <c r="B24" s="9" t="s">
        <v>30</v>
      </c>
      <c r="C24" s="7" t="s">
        <v>31</v>
      </c>
    </row>
    <row r="25" spans="2:3" ht="19.5" customHeight="1" x14ac:dyDescent="0.2">
      <c r="B25" s="10" t="s">
        <v>32</v>
      </c>
      <c r="C25" s="7" t="s">
        <v>33</v>
      </c>
    </row>
    <row r="26" spans="2:3" ht="19.5" customHeight="1" x14ac:dyDescent="0.2">
      <c r="B26" s="11" t="s">
        <v>34</v>
      </c>
      <c r="C26" s="7" t="s">
        <v>35</v>
      </c>
    </row>
    <row r="27" spans="2:3" ht="19.5" customHeight="1" x14ac:dyDescent="0.2"/>
    <row r="28" spans="2:3" ht="19.5" customHeight="1" x14ac:dyDescent="0.2"/>
    <row r="29" spans="2:3" ht="19.5" customHeight="1" x14ac:dyDescent="0.2"/>
    <row r="30" spans="2:3" ht="19.5" customHeight="1" x14ac:dyDescent="0.2"/>
    <row r="31" spans="2:3" ht="19.5" customHeight="1" x14ac:dyDescent="0.2"/>
    <row r="32" spans="2:3" ht="19.5" customHeight="1" x14ac:dyDescent="0.2"/>
    <row r="33" ht="19.5" customHeight="1" x14ac:dyDescent="0.2"/>
    <row r="34" ht="19.5" customHeight="1" x14ac:dyDescent="0.2"/>
  </sheetData>
  <mergeCells count="4">
    <mergeCell ref="B2:C2"/>
    <mergeCell ref="B3:C3"/>
    <mergeCell ref="B15:C15"/>
    <mergeCell ref="B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showGridLines="0" zoomScaleNormal="100" workbookViewId="0">
      <selection activeCell="B15" sqref="B15:G15"/>
    </sheetView>
  </sheetViews>
  <sheetFormatPr baseColWidth="10" defaultColWidth="8.6640625" defaultRowHeight="15" x14ac:dyDescent="0.2"/>
  <cols>
    <col min="1" max="1" width="2" customWidth="1"/>
    <col min="2" max="7" width="35.83203125" customWidth="1"/>
  </cols>
  <sheetData>
    <row r="1" spans="1:7" ht="27.75" customHeight="1" x14ac:dyDescent="0.2">
      <c r="B1" s="51" t="s">
        <v>36</v>
      </c>
      <c r="C1" s="51"/>
      <c r="D1" s="51"/>
      <c r="E1" s="51"/>
      <c r="F1" s="51"/>
      <c r="G1" s="51"/>
    </row>
    <row r="2" spans="1:7" ht="15.75" customHeight="1" x14ac:dyDescent="0.2">
      <c r="B2" s="52" t="s">
        <v>37</v>
      </c>
      <c r="C2" s="52"/>
      <c r="D2" s="52"/>
      <c r="E2" s="52"/>
      <c r="F2" s="52"/>
      <c r="G2" s="52"/>
    </row>
    <row r="3" spans="1:7" ht="7.5" customHeight="1" x14ac:dyDescent="0.2"/>
    <row r="4" spans="1:7" ht="19.5" customHeight="1" x14ac:dyDescent="0.2">
      <c r="A4" s="2"/>
      <c r="B4" s="2"/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 ht="12.5" customHeight="1" x14ac:dyDescent="0.2">
      <c r="B5" s="54" t="s">
        <v>43</v>
      </c>
      <c r="C5" s="54"/>
      <c r="D5" s="54"/>
      <c r="E5" s="54"/>
      <c r="F5" s="54"/>
      <c r="G5" s="54"/>
    </row>
    <row r="6" spans="1:7" x14ac:dyDescent="0.2">
      <c r="B6" s="12" t="s">
        <v>44</v>
      </c>
      <c r="C6" s="13">
        <v>156949</v>
      </c>
      <c r="D6" s="13">
        <v>164177</v>
      </c>
      <c r="E6" s="13">
        <v>191754</v>
      </c>
      <c r="F6" s="13">
        <v>225458</v>
      </c>
      <c r="G6" s="13">
        <v>240893</v>
      </c>
    </row>
    <row r="7" spans="1:7" ht="11.5" customHeight="1" x14ac:dyDescent="0.2">
      <c r="B7" s="54" t="s">
        <v>45</v>
      </c>
      <c r="C7" s="54"/>
      <c r="D7" s="54"/>
      <c r="E7" s="54"/>
      <c r="F7" s="54"/>
      <c r="G7" s="54"/>
    </row>
    <row r="8" spans="1:7" x14ac:dyDescent="0.2">
      <c r="B8" s="7" t="s">
        <v>46</v>
      </c>
      <c r="C8" s="14">
        <v>97066</v>
      </c>
      <c r="D8" s="14">
        <v>98025</v>
      </c>
      <c r="E8" s="14">
        <v>116091</v>
      </c>
      <c r="F8" s="14">
        <v>140200</v>
      </c>
      <c r="G8" s="14">
        <v>149566</v>
      </c>
    </row>
    <row r="9" spans="1:7" x14ac:dyDescent="0.2">
      <c r="B9" s="7" t="s">
        <v>47</v>
      </c>
      <c r="C9" s="14">
        <v>17774</v>
      </c>
      <c r="D9" s="14">
        <v>19606</v>
      </c>
      <c r="E9" s="14">
        <v>22606</v>
      </c>
      <c r="F9" s="14">
        <v>25999</v>
      </c>
      <c r="G9" s="14">
        <v>27031</v>
      </c>
    </row>
    <row r="10" spans="1:7" x14ac:dyDescent="0.2">
      <c r="B10" s="15" t="s">
        <v>48</v>
      </c>
      <c r="C10" s="16">
        <f>C8+C9</f>
        <v>114840</v>
      </c>
      <c r="D10" s="16">
        <f>D8+D9</f>
        <v>117631</v>
      </c>
      <c r="E10" s="16">
        <f>E8+E9</f>
        <v>138697</v>
      </c>
      <c r="F10" s="16">
        <f>F8+F9</f>
        <v>166199</v>
      </c>
      <c r="G10" s="16">
        <f>G8+G9</f>
        <v>176597</v>
      </c>
    </row>
    <row r="11" spans="1:7" ht="11.5" customHeight="1" x14ac:dyDescent="0.2">
      <c r="B11" s="54" t="s">
        <v>49</v>
      </c>
      <c r="C11" s="54"/>
      <c r="D11" s="54"/>
      <c r="E11" s="54"/>
      <c r="F11" s="54"/>
      <c r="G11" s="54"/>
    </row>
    <row r="12" spans="1:7" x14ac:dyDescent="0.2">
      <c r="B12" s="17" t="s">
        <v>50</v>
      </c>
      <c r="C12" s="18">
        <f>C6-C10</f>
        <v>42109</v>
      </c>
      <c r="D12" s="18">
        <f>D6-D10</f>
        <v>46546</v>
      </c>
      <c r="E12" s="18">
        <f>E6-E10</f>
        <v>53057</v>
      </c>
      <c r="F12" s="18">
        <f>F6-F10</f>
        <v>59259</v>
      </c>
      <c r="G12" s="18">
        <f>G6-G10</f>
        <v>64296</v>
      </c>
    </row>
    <row r="13" spans="1:7" x14ac:dyDescent="0.2">
      <c r="B13" s="7" t="s">
        <v>51</v>
      </c>
      <c r="C13" s="14">
        <v>3529</v>
      </c>
      <c r="D13" s="14">
        <v>4065</v>
      </c>
      <c r="E13" s="14">
        <v>4604</v>
      </c>
      <c r="F13" s="14">
        <v>5022</v>
      </c>
      <c r="G13" s="14">
        <v>4985</v>
      </c>
    </row>
    <row r="14" spans="1:7" x14ac:dyDescent="0.2">
      <c r="B14" s="17" t="s">
        <v>52</v>
      </c>
      <c r="C14" s="19">
        <f>C12-C13</f>
        <v>38580</v>
      </c>
      <c r="D14" s="19">
        <f>D12-D13</f>
        <v>42481</v>
      </c>
      <c r="E14" s="19">
        <f>E12-E13</f>
        <v>48453</v>
      </c>
      <c r="F14" s="19">
        <f>F12-F13</f>
        <v>54237</v>
      </c>
      <c r="G14" s="19">
        <f>G12-G13</f>
        <v>59311</v>
      </c>
    </row>
    <row r="15" spans="1:7" ht="14.5" customHeight="1" x14ac:dyDescent="0.2">
      <c r="B15" s="54" t="s">
        <v>53</v>
      </c>
      <c r="C15" s="54"/>
      <c r="D15" s="54"/>
      <c r="E15" s="54"/>
      <c r="F15" s="54"/>
      <c r="G15" s="54"/>
    </row>
    <row r="16" spans="1:7" x14ac:dyDescent="0.2">
      <c r="B16" s="7" t="s">
        <v>54</v>
      </c>
      <c r="C16" s="14">
        <v>4592</v>
      </c>
      <c r="D16" s="14">
        <v>1916</v>
      </c>
      <c r="E16" s="14">
        <v>4018</v>
      </c>
      <c r="F16" s="14">
        <v>3449</v>
      </c>
      <c r="G16" s="14">
        <v>3464</v>
      </c>
    </row>
    <row r="17" spans="2:7" x14ac:dyDescent="0.2">
      <c r="B17" s="7" t="s">
        <v>55</v>
      </c>
      <c r="C17" s="14">
        <v>924</v>
      </c>
      <c r="D17" s="14">
        <v>637</v>
      </c>
      <c r="E17" s="14">
        <v>784</v>
      </c>
      <c r="F17" s="14">
        <v>779</v>
      </c>
      <c r="G17" s="14">
        <v>778</v>
      </c>
    </row>
    <row r="18" spans="2:7" x14ac:dyDescent="0.2">
      <c r="B18" s="20" t="s">
        <v>56</v>
      </c>
      <c r="C18" s="21">
        <f>C14+C16-C17</f>
        <v>42248</v>
      </c>
      <c r="D18" s="21">
        <f>D14+D16-D17</f>
        <v>43760</v>
      </c>
      <c r="E18" s="21">
        <f>E14+E16-E17</f>
        <v>51687</v>
      </c>
      <c r="F18" s="21">
        <f>F14+F16-F17</f>
        <v>56907</v>
      </c>
      <c r="G18" s="21">
        <f>G14+G16-G17</f>
        <v>61997</v>
      </c>
    </row>
    <row r="19" spans="2:7" x14ac:dyDescent="0.2">
      <c r="B19" s="7" t="s">
        <v>57</v>
      </c>
      <c r="C19" s="14">
        <v>9801</v>
      </c>
      <c r="D19" s="14">
        <v>11198</v>
      </c>
      <c r="E19" s="14">
        <v>13238</v>
      </c>
      <c r="F19" s="14">
        <v>14604</v>
      </c>
      <c r="G19" s="14">
        <v>15898</v>
      </c>
    </row>
    <row r="20" spans="2:7" x14ac:dyDescent="0.2">
      <c r="B20" s="17" t="s">
        <v>58</v>
      </c>
      <c r="C20" s="22">
        <f>C18-C19</f>
        <v>32447</v>
      </c>
      <c r="D20" s="22">
        <f>D18-D19</f>
        <v>32562</v>
      </c>
      <c r="E20" s="22">
        <f>E18-E19</f>
        <v>38449</v>
      </c>
      <c r="F20" s="22">
        <f>F18-F19</f>
        <v>42303</v>
      </c>
      <c r="G20" s="22">
        <f>G18-G19</f>
        <v>46099</v>
      </c>
    </row>
    <row r="21" spans="2:7" x14ac:dyDescent="0.2">
      <c r="B21" s="7" t="s">
        <v>59</v>
      </c>
      <c r="C21" s="14">
        <v>380</v>
      </c>
      <c r="D21" s="14">
        <v>350</v>
      </c>
      <c r="E21" s="14">
        <v>390</v>
      </c>
      <c r="F21" s="14">
        <v>456</v>
      </c>
      <c r="G21" s="14">
        <v>590</v>
      </c>
    </row>
    <row r="22" spans="2:7" x14ac:dyDescent="0.2">
      <c r="B22" s="17" t="s">
        <v>60</v>
      </c>
      <c r="C22" s="23">
        <f>C20-C21</f>
        <v>32067</v>
      </c>
      <c r="D22" s="23">
        <f>D20-D21</f>
        <v>32212</v>
      </c>
      <c r="E22" s="23">
        <f>E20-E21</f>
        <v>38059</v>
      </c>
      <c r="F22" s="23">
        <f>F20-F21</f>
        <v>41847</v>
      </c>
      <c r="G22" s="23">
        <f>G20-G21</f>
        <v>45509</v>
      </c>
    </row>
    <row r="23" spans="2:7" ht="12.5" customHeight="1" x14ac:dyDescent="0.2">
      <c r="B23" s="53" t="s">
        <v>61</v>
      </c>
      <c r="C23" s="53"/>
      <c r="D23" s="53"/>
      <c r="E23" s="53"/>
      <c r="F23" s="53"/>
      <c r="G23" s="53"/>
    </row>
    <row r="24" spans="2:7" x14ac:dyDescent="0.2">
      <c r="B24" s="24" t="s">
        <v>62</v>
      </c>
      <c r="C24" s="25">
        <f>C12/C6</f>
        <v>0.26829734499741953</v>
      </c>
      <c r="D24" s="25">
        <f>D12/D6</f>
        <v>0.28351108864213626</v>
      </c>
      <c r="E24" s="25">
        <f>E12/E6</f>
        <v>0.27669305464292793</v>
      </c>
      <c r="F24" s="25">
        <f>F12/F6</f>
        <v>0.26283831134845514</v>
      </c>
      <c r="G24" s="25">
        <f>G12/G6</f>
        <v>0.26690688396923118</v>
      </c>
    </row>
    <row r="25" spans="2:7" x14ac:dyDescent="0.2">
      <c r="B25" s="24" t="s">
        <v>63</v>
      </c>
      <c r="C25" s="25">
        <f>C14/C6</f>
        <v>0.24581233394287316</v>
      </c>
      <c r="D25" s="25">
        <f>D14/D6</f>
        <v>0.25875122581116722</v>
      </c>
      <c r="E25" s="25">
        <f>E14/E6</f>
        <v>0.25268312525423198</v>
      </c>
      <c r="F25" s="25">
        <f>F14/F6</f>
        <v>0.24056365265370933</v>
      </c>
      <c r="G25" s="25">
        <f>G14/G6</f>
        <v>0.24621304894704288</v>
      </c>
    </row>
    <row r="26" spans="2:7" x14ac:dyDescent="0.2">
      <c r="B26" s="24" t="s">
        <v>64</v>
      </c>
      <c r="C26" s="25">
        <f>C20/C6</f>
        <v>0.20673594607165385</v>
      </c>
      <c r="D26" s="25">
        <f>D20/D6</f>
        <v>0.19833472410873632</v>
      </c>
      <c r="E26" s="25">
        <f>E20/E6</f>
        <v>0.20051211448001086</v>
      </c>
      <c r="F26" s="25">
        <f>F20/F6</f>
        <v>0.18763139919630265</v>
      </c>
      <c r="G26" s="25">
        <f>G20/G6</f>
        <v>0.19136712150207769</v>
      </c>
    </row>
    <row r="27" spans="2:7" ht="10.75" customHeight="1" x14ac:dyDescent="0.2">
      <c r="B27" s="53" t="s">
        <v>65</v>
      </c>
      <c r="C27" s="53"/>
      <c r="D27" s="53"/>
      <c r="E27" s="53"/>
      <c r="F27" s="53"/>
      <c r="G27" s="53"/>
    </row>
    <row r="28" spans="2:7" x14ac:dyDescent="0.2">
      <c r="B28" s="7" t="s">
        <v>66</v>
      </c>
      <c r="C28" s="26">
        <v>86.19</v>
      </c>
      <c r="D28" s="26">
        <v>87.67</v>
      </c>
      <c r="E28" s="26">
        <v>104.75</v>
      </c>
      <c r="F28" s="26">
        <v>115.19</v>
      </c>
      <c r="G28" s="26">
        <v>126.88</v>
      </c>
    </row>
    <row r="29" spans="2:7" x14ac:dyDescent="0.2">
      <c r="B29" s="7" t="s">
        <v>67</v>
      </c>
      <c r="C29" s="26">
        <v>73</v>
      </c>
      <c r="D29" s="26">
        <v>38</v>
      </c>
      <c r="E29" s="26">
        <v>43</v>
      </c>
      <c r="F29" s="26">
        <v>115</v>
      </c>
      <c r="G29" s="26">
        <v>73</v>
      </c>
    </row>
    <row r="30" spans="2:7" x14ac:dyDescent="0.2">
      <c r="B30" s="7" t="s">
        <v>68</v>
      </c>
      <c r="C30" s="26">
        <v>3.75</v>
      </c>
      <c r="D30" s="26">
        <v>3.7</v>
      </c>
      <c r="E30" s="26">
        <v>3.66</v>
      </c>
      <c r="F30" s="26">
        <v>3.66</v>
      </c>
      <c r="G30" s="26">
        <v>3.62</v>
      </c>
    </row>
    <row r="32" spans="2:7" x14ac:dyDescent="0.2">
      <c r="B32" s="55" t="s">
        <v>69</v>
      </c>
      <c r="C32" s="55"/>
      <c r="D32" s="55"/>
      <c r="E32" s="55"/>
      <c r="F32" s="55"/>
      <c r="G32" s="55"/>
    </row>
  </sheetData>
  <mergeCells count="9">
    <mergeCell ref="B15:G15"/>
    <mergeCell ref="B23:G23"/>
    <mergeCell ref="B27:G27"/>
    <mergeCell ref="B32:G32"/>
    <mergeCell ref="B1:G1"/>
    <mergeCell ref="B2:G2"/>
    <mergeCell ref="B5:G5"/>
    <mergeCell ref="B7:G7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showGridLines="0" zoomScaleNormal="100" workbookViewId="0">
      <selection activeCell="F16" sqref="F16"/>
    </sheetView>
  </sheetViews>
  <sheetFormatPr baseColWidth="10" defaultColWidth="8.6640625" defaultRowHeight="15" x14ac:dyDescent="0.2"/>
  <cols>
    <col min="1" max="1" width="2" customWidth="1"/>
    <col min="2" max="7" width="35.83203125" customWidth="1"/>
  </cols>
  <sheetData>
    <row r="1" spans="1:7" ht="27.75" customHeight="1" x14ac:dyDescent="0.2">
      <c r="B1" s="51" t="s">
        <v>70</v>
      </c>
      <c r="C1" s="51"/>
      <c r="D1" s="51"/>
      <c r="E1" s="51"/>
      <c r="F1" s="51"/>
      <c r="G1" s="51"/>
    </row>
    <row r="2" spans="1:7" ht="15.75" customHeight="1" x14ac:dyDescent="0.2">
      <c r="B2" s="52" t="s">
        <v>71</v>
      </c>
      <c r="C2" s="52"/>
      <c r="D2" s="52"/>
      <c r="E2" s="52"/>
      <c r="F2" s="52"/>
      <c r="G2" s="52"/>
    </row>
    <row r="3" spans="1:7" ht="7.5" customHeight="1" x14ac:dyDescent="0.2"/>
    <row r="4" spans="1:7" ht="19.5" customHeight="1" x14ac:dyDescent="0.2">
      <c r="A4" s="2"/>
      <c r="B4" s="2"/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 ht="16.25" customHeight="1" x14ac:dyDescent="0.2">
      <c r="B5" s="53" t="s">
        <v>72</v>
      </c>
      <c r="C5" s="53"/>
      <c r="D5" s="53"/>
      <c r="E5" s="53"/>
      <c r="F5" s="53"/>
      <c r="G5" s="53"/>
    </row>
    <row r="6" spans="1:7" ht="14.5" customHeight="1" x14ac:dyDescent="0.2">
      <c r="B6" s="54" t="s">
        <v>73</v>
      </c>
      <c r="C6" s="54"/>
      <c r="D6" s="54"/>
      <c r="E6" s="54"/>
      <c r="F6" s="54"/>
      <c r="G6" s="54"/>
    </row>
    <row r="7" spans="1:7" x14ac:dyDescent="0.2">
      <c r="B7" s="7" t="s">
        <v>74</v>
      </c>
      <c r="C7" s="14">
        <f>'Cash Flow Statement'!C30</f>
        <v>14580</v>
      </c>
      <c r="D7" s="14">
        <f>'Cash Flow Statement'!D30</f>
        <v>14700</v>
      </c>
      <c r="E7" s="14">
        <f>'Cash Flow Statement'!E30</f>
        <v>17129</v>
      </c>
      <c r="F7" s="14">
        <f>'Cash Flow Statement'!F30</f>
        <v>15579</v>
      </c>
      <c r="G7" s="14">
        <f>'Cash Flow Statement'!G30</f>
        <v>14555</v>
      </c>
    </row>
    <row r="8" spans="1:7" x14ac:dyDescent="0.2">
      <c r="B8" s="7" t="s">
        <v>75</v>
      </c>
      <c r="C8" s="14">
        <v>25990</v>
      </c>
      <c r="D8" s="14">
        <v>29606</v>
      </c>
      <c r="E8" s="14">
        <v>32109</v>
      </c>
      <c r="F8" s="14">
        <v>38403</v>
      </c>
      <c r="G8" s="14">
        <v>34567</v>
      </c>
    </row>
    <row r="9" spans="1:7" x14ac:dyDescent="0.2">
      <c r="B9" s="7" t="s">
        <v>76</v>
      </c>
      <c r="C9" s="14">
        <v>33410</v>
      </c>
      <c r="D9" s="14">
        <v>40492</v>
      </c>
      <c r="E9" s="14">
        <v>46058</v>
      </c>
      <c r="F9" s="14">
        <v>55570</v>
      </c>
      <c r="G9" s="14">
        <v>59423</v>
      </c>
    </row>
    <row r="10" spans="1:7" x14ac:dyDescent="0.2">
      <c r="B10" s="7" t="s">
        <v>77</v>
      </c>
      <c r="C10" s="14">
        <v>4800</v>
      </c>
      <c r="D10" s="14">
        <v>5310</v>
      </c>
      <c r="E10" s="14">
        <v>7450</v>
      </c>
      <c r="F10" s="14">
        <v>4535</v>
      </c>
      <c r="G10" s="14">
        <v>8800</v>
      </c>
    </row>
    <row r="11" spans="1:7" x14ac:dyDescent="0.2">
      <c r="B11" s="17" t="s">
        <v>78</v>
      </c>
      <c r="C11" s="22">
        <f>SUM(C7:C10)</f>
        <v>78780</v>
      </c>
      <c r="D11" s="22">
        <f>SUM(D7:D10)</f>
        <v>90108</v>
      </c>
      <c r="E11" s="22">
        <f>SUM(E7:E10)</f>
        <v>102746</v>
      </c>
      <c r="F11" s="22">
        <f>SUM(F7:F10)</f>
        <v>114087</v>
      </c>
      <c r="G11" s="22">
        <f>SUM(G7:G10)</f>
        <v>117345</v>
      </c>
    </row>
    <row r="12" spans="1:7" ht="12" customHeight="1" x14ac:dyDescent="0.2">
      <c r="B12" s="54" t="s">
        <v>79</v>
      </c>
      <c r="C12" s="54"/>
      <c r="D12" s="54"/>
      <c r="E12" s="54"/>
      <c r="F12" s="54"/>
      <c r="G12" s="54"/>
    </row>
    <row r="13" spans="1:7" ht="6" customHeight="1" x14ac:dyDescent="0.2"/>
    <row r="14" spans="1:7" x14ac:dyDescent="0.2">
      <c r="B14" s="7" t="s">
        <v>80</v>
      </c>
      <c r="C14" s="14">
        <v>18900</v>
      </c>
      <c r="D14" s="14">
        <v>19669</v>
      </c>
      <c r="E14" s="14">
        <v>19615</v>
      </c>
      <c r="F14" s="14">
        <v>19024</v>
      </c>
      <c r="G14" s="14">
        <v>18826</v>
      </c>
    </row>
    <row r="15" spans="1:7" x14ac:dyDescent="0.2">
      <c r="B15" s="7" t="s">
        <v>81</v>
      </c>
      <c r="C15" s="14">
        <v>1850</v>
      </c>
      <c r="D15" s="14">
        <v>1798</v>
      </c>
      <c r="E15" s="14">
        <v>1787</v>
      </c>
      <c r="F15" s="14">
        <v>1858</v>
      </c>
      <c r="G15" s="14">
        <v>1832</v>
      </c>
    </row>
    <row r="16" spans="1:7" x14ac:dyDescent="0.2">
      <c r="B16" s="7" t="s">
        <v>82</v>
      </c>
      <c r="C16" s="14">
        <v>720</v>
      </c>
      <c r="D16" s="14">
        <v>757</v>
      </c>
      <c r="E16" s="14">
        <v>1268</v>
      </c>
      <c r="F16" s="14">
        <v>1371</v>
      </c>
      <c r="G16" s="14">
        <v>2280</v>
      </c>
    </row>
    <row r="17" spans="2:7" x14ac:dyDescent="0.2">
      <c r="B17" s="7" t="s">
        <v>83</v>
      </c>
      <c r="C17" s="14">
        <v>7000</v>
      </c>
      <c r="D17" s="14">
        <v>9396</v>
      </c>
      <c r="E17" s="14">
        <v>8539</v>
      </c>
      <c r="F17" s="14">
        <v>9040</v>
      </c>
      <c r="G17" s="14">
        <v>9540</v>
      </c>
    </row>
    <row r="18" spans="2:7" x14ac:dyDescent="0.2">
      <c r="B18" s="17" t="s">
        <v>84</v>
      </c>
      <c r="C18" s="22">
        <f>SUM(C14:C17)</f>
        <v>28470</v>
      </c>
      <c r="D18" s="22">
        <f>SUM(D14:D17)</f>
        <v>31620</v>
      </c>
      <c r="E18" s="22">
        <f>SUM(E14:E17)</f>
        <v>31209</v>
      </c>
      <c r="F18" s="22">
        <f>SUM(F14:F17)</f>
        <v>31293</v>
      </c>
      <c r="G18" s="22">
        <f>SUM(G14:G17)</f>
        <v>32478</v>
      </c>
    </row>
    <row r="19" spans="2:7" ht="6" customHeight="1" x14ac:dyDescent="0.2"/>
    <row r="20" spans="2:7" x14ac:dyDescent="0.2">
      <c r="B20" s="1" t="s">
        <v>85</v>
      </c>
      <c r="C20" s="27">
        <f>C11+C18</f>
        <v>107250</v>
      </c>
      <c r="D20" s="27">
        <f>D11+D18</f>
        <v>121728</v>
      </c>
      <c r="E20" s="27">
        <f>E11+E18</f>
        <v>133955</v>
      </c>
      <c r="F20" s="27">
        <f>F11+F18</f>
        <v>145380</v>
      </c>
      <c r="G20" s="27">
        <f>G11+G18</f>
        <v>149823</v>
      </c>
    </row>
    <row r="21" spans="2:7" ht="14.5" customHeight="1" x14ac:dyDescent="0.2">
      <c r="B21" s="53" t="s">
        <v>86</v>
      </c>
      <c r="C21" s="53"/>
      <c r="D21" s="53"/>
      <c r="E21" s="53"/>
      <c r="F21" s="53"/>
      <c r="G21" s="53"/>
    </row>
    <row r="22" spans="2:7" ht="9.5" customHeight="1" x14ac:dyDescent="0.2">
      <c r="B22" s="54" t="s">
        <v>87</v>
      </c>
      <c r="C22" s="54"/>
      <c r="D22" s="54"/>
      <c r="E22" s="54"/>
      <c r="F22" s="54"/>
      <c r="G22" s="54"/>
    </row>
    <row r="23" spans="2:7" x14ac:dyDescent="0.2">
      <c r="B23" s="7" t="s">
        <v>88</v>
      </c>
      <c r="C23" s="14">
        <v>19628</v>
      </c>
      <c r="D23" s="14">
        <v>19619</v>
      </c>
      <c r="E23" s="14">
        <v>18650</v>
      </c>
      <c r="F23" s="14">
        <v>26516</v>
      </c>
      <c r="G23" s="14">
        <v>24589</v>
      </c>
    </row>
    <row r="24" spans="2:7" x14ac:dyDescent="0.2">
      <c r="B24" s="7" t="s">
        <v>89</v>
      </c>
      <c r="C24" s="14">
        <v>1200</v>
      </c>
      <c r="D24" s="14">
        <v>1292</v>
      </c>
      <c r="E24" s="14">
        <v>1450</v>
      </c>
      <c r="F24" s="14">
        <v>1485</v>
      </c>
      <c r="G24" s="14">
        <v>1505</v>
      </c>
    </row>
    <row r="25" spans="2:7" x14ac:dyDescent="0.2">
      <c r="B25" s="7" t="s">
        <v>90</v>
      </c>
      <c r="C25" s="14">
        <v>5500</v>
      </c>
      <c r="D25" s="14">
        <v>6243</v>
      </c>
      <c r="E25" s="14">
        <v>7921</v>
      </c>
      <c r="F25" s="14">
        <v>9345</v>
      </c>
      <c r="G25" s="14">
        <v>11433</v>
      </c>
    </row>
    <row r="26" spans="2:7" x14ac:dyDescent="0.2">
      <c r="B26" s="7" t="s">
        <v>91</v>
      </c>
      <c r="C26" s="14">
        <v>4600</v>
      </c>
      <c r="D26" s="14">
        <v>4564</v>
      </c>
      <c r="E26" s="14">
        <v>4669</v>
      </c>
      <c r="F26" s="14">
        <v>4980</v>
      </c>
      <c r="G26" s="14">
        <v>5149</v>
      </c>
    </row>
    <row r="27" spans="2:7" x14ac:dyDescent="0.2">
      <c r="B27" s="7" t="s">
        <v>92</v>
      </c>
      <c r="C27" s="14">
        <v>2500</v>
      </c>
      <c r="D27" s="14">
        <v>2490</v>
      </c>
      <c r="E27" s="14">
        <v>3060</v>
      </c>
      <c r="F27" s="14">
        <v>2202</v>
      </c>
      <c r="G27" s="14">
        <v>3427</v>
      </c>
    </row>
    <row r="28" spans="2:7" x14ac:dyDescent="0.2">
      <c r="B28" s="15" t="s">
        <v>93</v>
      </c>
      <c r="C28" s="16">
        <f>SUM(C23:C27)</f>
        <v>33428</v>
      </c>
      <c r="D28" s="16">
        <f>SUM(D23:D27)</f>
        <v>34208</v>
      </c>
      <c r="E28" s="16">
        <f>SUM(E23:E27)</f>
        <v>35750</v>
      </c>
      <c r="F28" s="16">
        <f>SUM(F23:F27)</f>
        <v>44528</v>
      </c>
      <c r="G28" s="16">
        <f>SUM(G23:G27)</f>
        <v>46103</v>
      </c>
    </row>
    <row r="29" spans="2:7" ht="13.75" customHeight="1" x14ac:dyDescent="0.2">
      <c r="B29" s="54" t="s">
        <v>94</v>
      </c>
      <c r="C29" s="54"/>
      <c r="D29" s="54"/>
      <c r="E29" s="54"/>
      <c r="F29" s="54"/>
      <c r="G29" s="54"/>
    </row>
    <row r="30" spans="2:7" ht="6" customHeight="1" x14ac:dyDescent="0.2"/>
    <row r="31" spans="2:7" x14ac:dyDescent="0.2">
      <c r="B31" s="7" t="s">
        <v>95</v>
      </c>
      <c r="C31" s="14">
        <v>6200</v>
      </c>
      <c r="D31" s="14">
        <v>6503</v>
      </c>
      <c r="E31" s="14">
        <v>6368</v>
      </c>
      <c r="F31" s="14">
        <v>6203</v>
      </c>
      <c r="G31" s="14">
        <v>6516</v>
      </c>
    </row>
    <row r="32" spans="2:7" x14ac:dyDescent="0.2">
      <c r="B32" s="7" t="s">
        <v>96</v>
      </c>
      <c r="C32" s="14">
        <v>1800</v>
      </c>
      <c r="D32" s="14">
        <v>1796</v>
      </c>
      <c r="E32" s="14">
        <v>1667</v>
      </c>
      <c r="F32" s="14">
        <v>1688</v>
      </c>
      <c r="G32" s="14">
        <v>2026</v>
      </c>
    </row>
    <row r="33" spans="2:7" x14ac:dyDescent="0.2">
      <c r="B33" s="15" t="s">
        <v>97</v>
      </c>
      <c r="C33" s="16">
        <f>SUM(C31:C32)</f>
        <v>8000</v>
      </c>
      <c r="D33" s="16">
        <f>SUM(D31:D32)</f>
        <v>8299</v>
      </c>
      <c r="E33" s="16">
        <f>SUM(E31:E32)</f>
        <v>8035</v>
      </c>
      <c r="F33" s="16">
        <f>SUM(F31:F32)</f>
        <v>7891</v>
      </c>
      <c r="G33" s="16">
        <f>SUM(G31:G32)</f>
        <v>8542</v>
      </c>
    </row>
    <row r="34" spans="2:7" ht="13.75" customHeight="1" x14ac:dyDescent="0.2">
      <c r="B34" s="54" t="s">
        <v>98</v>
      </c>
      <c r="C34" s="54"/>
      <c r="D34" s="54"/>
      <c r="E34" s="54"/>
      <c r="F34" s="54"/>
      <c r="G34" s="54"/>
    </row>
    <row r="35" spans="2:7" ht="6" customHeight="1" x14ac:dyDescent="0.2"/>
    <row r="36" spans="2:7" x14ac:dyDescent="0.2">
      <c r="B36" s="7" t="s">
        <v>99</v>
      </c>
      <c r="C36" s="14">
        <v>375</v>
      </c>
      <c r="D36" s="14">
        <v>370</v>
      </c>
      <c r="E36" s="14">
        <v>366</v>
      </c>
      <c r="F36" s="14">
        <v>366</v>
      </c>
      <c r="G36" s="14">
        <v>362</v>
      </c>
    </row>
    <row r="37" spans="2:7" x14ac:dyDescent="0.2">
      <c r="B37" s="7" t="s">
        <v>100</v>
      </c>
      <c r="C37" s="14">
        <v>59200</v>
      </c>
      <c r="D37" s="14">
        <v>82558</v>
      </c>
      <c r="E37" s="14">
        <v>85607</v>
      </c>
      <c r="F37" s="14">
        <v>86674</v>
      </c>
      <c r="G37" s="14">
        <v>86427</v>
      </c>
    </row>
    <row r="38" spans="2:7" x14ac:dyDescent="0.2">
      <c r="B38" s="7" t="s">
        <v>101</v>
      </c>
      <c r="C38" s="14">
        <v>3450</v>
      </c>
      <c r="D38" s="14">
        <v>3505</v>
      </c>
      <c r="E38" s="14">
        <v>3166</v>
      </c>
      <c r="F38" s="14">
        <v>3384</v>
      </c>
      <c r="G38" s="14">
        <v>3700</v>
      </c>
    </row>
    <row r="39" spans="2:7" x14ac:dyDescent="0.2">
      <c r="B39" s="17" t="s">
        <v>102</v>
      </c>
      <c r="C39" s="22">
        <f>SUM(C36:C38)</f>
        <v>63025</v>
      </c>
      <c r="D39" s="22">
        <f>SUM(D36:D38)</f>
        <v>86433</v>
      </c>
      <c r="E39" s="22">
        <f>SUM(E36:E38)</f>
        <v>89139</v>
      </c>
      <c r="F39" s="22">
        <f>SUM(F36:F38)</f>
        <v>90424</v>
      </c>
      <c r="G39" s="22">
        <f>SUM(G36:G38)</f>
        <v>90489</v>
      </c>
    </row>
    <row r="40" spans="2:7" x14ac:dyDescent="0.2">
      <c r="B40" s="7" t="s">
        <v>103</v>
      </c>
      <c r="C40" s="14">
        <v>600</v>
      </c>
      <c r="D40" s="14">
        <v>675</v>
      </c>
      <c r="E40" s="14">
        <v>707</v>
      </c>
      <c r="F40" s="14">
        <v>782</v>
      </c>
      <c r="G40" s="14">
        <v>830</v>
      </c>
    </row>
    <row r="41" spans="2:7" ht="6" customHeight="1" x14ac:dyDescent="0.2"/>
    <row r="42" spans="2:7" x14ac:dyDescent="0.2">
      <c r="B42" s="1" t="s">
        <v>104</v>
      </c>
      <c r="C42" s="27">
        <f>C28+C33+C39+C40</f>
        <v>105053</v>
      </c>
      <c r="D42" s="27">
        <f>D28+D33+D39+D40</f>
        <v>129615</v>
      </c>
      <c r="E42" s="27">
        <f>E28+E33+E39+E40</f>
        <v>133631</v>
      </c>
      <c r="F42" s="27">
        <f>F28+F33+F39+F40</f>
        <v>143625</v>
      </c>
      <c r="G42" s="27">
        <f>G28+G33+G39+G40</f>
        <v>145964</v>
      </c>
    </row>
    <row r="43" spans="2:7" ht="6" customHeight="1" x14ac:dyDescent="0.2"/>
    <row r="44" spans="2:7" x14ac:dyDescent="0.2">
      <c r="B44" s="28" t="s">
        <v>105</v>
      </c>
      <c r="C44" s="29">
        <f>C20-C42</f>
        <v>2197</v>
      </c>
      <c r="D44" s="29">
        <f>D20-D42</f>
        <v>-7887</v>
      </c>
      <c r="E44" s="29">
        <f>E20-E42</f>
        <v>324</v>
      </c>
      <c r="F44" s="29">
        <f>F20-F42</f>
        <v>1755</v>
      </c>
      <c r="G44" s="29">
        <f>G20-G42</f>
        <v>3859</v>
      </c>
    </row>
    <row r="46" spans="2:7" x14ac:dyDescent="0.2">
      <c r="B46" s="55" t="s">
        <v>106</v>
      </c>
      <c r="C46" s="55"/>
      <c r="D46" s="55"/>
      <c r="E46" s="55"/>
      <c r="F46" s="55"/>
      <c r="G46" s="55"/>
    </row>
  </sheetData>
  <mergeCells count="10">
    <mergeCell ref="B21:G21"/>
    <mergeCell ref="B22:G22"/>
    <mergeCell ref="B29:G29"/>
    <mergeCell ref="B34:G34"/>
    <mergeCell ref="B46:G46"/>
    <mergeCell ref="B1:G1"/>
    <mergeCell ref="B2:G2"/>
    <mergeCell ref="B5:G5"/>
    <mergeCell ref="B6:G6"/>
    <mergeCell ref="B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showGridLines="0" tabSelected="1" zoomScaleNormal="100" workbookViewId="0">
      <selection activeCell="E41" sqref="E41"/>
    </sheetView>
  </sheetViews>
  <sheetFormatPr baseColWidth="10" defaultColWidth="8.6640625" defaultRowHeight="15" x14ac:dyDescent="0.2"/>
  <cols>
    <col min="1" max="1" width="2" customWidth="1"/>
    <col min="2" max="7" width="35.83203125" customWidth="1"/>
  </cols>
  <sheetData>
    <row r="1" spans="1:7" ht="27.75" customHeight="1" x14ac:dyDescent="0.2">
      <c r="B1" s="51" t="s">
        <v>107</v>
      </c>
      <c r="C1" s="51"/>
      <c r="D1" s="51"/>
      <c r="E1" s="51"/>
      <c r="F1" s="51"/>
      <c r="G1" s="51"/>
    </row>
    <row r="2" spans="1:7" ht="15.75" customHeight="1" x14ac:dyDescent="0.2">
      <c r="B2" s="52" t="s">
        <v>37</v>
      </c>
      <c r="C2" s="52"/>
      <c r="D2" s="52"/>
      <c r="E2" s="52"/>
      <c r="F2" s="52"/>
      <c r="G2" s="52"/>
    </row>
    <row r="3" spans="1:7" ht="7.5" customHeight="1" x14ac:dyDescent="0.2"/>
    <row r="4" spans="1:7" ht="19.5" customHeight="1" x14ac:dyDescent="0.2">
      <c r="A4" s="2"/>
      <c r="B4" s="2"/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 ht="13.25" customHeight="1" x14ac:dyDescent="0.2">
      <c r="B5" s="54" t="s">
        <v>108</v>
      </c>
      <c r="C5" s="54"/>
      <c r="D5" s="54"/>
      <c r="E5" s="54"/>
      <c r="F5" s="54"/>
      <c r="G5" s="54"/>
    </row>
    <row r="7" spans="1:7" x14ac:dyDescent="0.2">
      <c r="B7" s="7" t="s">
        <v>109</v>
      </c>
      <c r="C7" s="14">
        <v>32447</v>
      </c>
      <c r="D7" s="14">
        <v>32562</v>
      </c>
      <c r="E7" s="14">
        <v>38449</v>
      </c>
      <c r="F7" s="14">
        <v>42303</v>
      </c>
      <c r="G7" s="14">
        <v>46099</v>
      </c>
    </row>
    <row r="8" spans="1:7" x14ac:dyDescent="0.2">
      <c r="B8" s="7" t="s">
        <v>110</v>
      </c>
      <c r="C8" s="14">
        <v>3529</v>
      </c>
      <c r="D8" s="14">
        <v>4065</v>
      </c>
      <c r="E8" s="14">
        <v>4604</v>
      </c>
      <c r="F8" s="14">
        <v>5022</v>
      </c>
      <c r="G8" s="14">
        <v>4985</v>
      </c>
    </row>
    <row r="9" spans="1:7" x14ac:dyDescent="0.2">
      <c r="B9" s="7" t="s">
        <v>111</v>
      </c>
      <c r="C9" s="14">
        <v>1200</v>
      </c>
      <c r="D9" s="14">
        <v>2800</v>
      </c>
      <c r="E9" s="14">
        <v>-1500</v>
      </c>
      <c r="F9" s="14">
        <v>-3200</v>
      </c>
      <c r="G9" s="14">
        <v>-1800</v>
      </c>
    </row>
    <row r="10" spans="1:7" x14ac:dyDescent="0.2">
      <c r="B10" s="7" t="s">
        <v>112</v>
      </c>
      <c r="C10" s="14">
        <v>-500</v>
      </c>
      <c r="D10" s="14">
        <v>-900</v>
      </c>
      <c r="E10" s="14">
        <v>-1200</v>
      </c>
      <c r="F10" s="14">
        <v>-1100</v>
      </c>
      <c r="G10" s="14">
        <v>-1400</v>
      </c>
    </row>
    <row r="11" spans="1:7" x14ac:dyDescent="0.2">
      <c r="B11" s="7" t="s">
        <v>113</v>
      </c>
      <c r="C11" s="14">
        <v>800</v>
      </c>
      <c r="D11" s="14">
        <v>500</v>
      </c>
      <c r="E11" s="14">
        <v>600</v>
      </c>
      <c r="F11" s="14">
        <v>700</v>
      </c>
      <c r="G11" s="14">
        <v>900</v>
      </c>
    </row>
    <row r="12" spans="1:7" x14ac:dyDescent="0.2">
      <c r="B12" s="17" t="s">
        <v>114</v>
      </c>
      <c r="C12" s="30">
        <f>SUM(C7:C11)</f>
        <v>37476</v>
      </c>
      <c r="D12" s="30">
        <f>SUM(D7:D11)</f>
        <v>39027</v>
      </c>
      <c r="E12" s="30">
        <f>SUM(E7:E11)</f>
        <v>40953</v>
      </c>
      <c r="F12" s="30">
        <f>SUM(F7:F11)</f>
        <v>43725</v>
      </c>
      <c r="G12" s="30">
        <f>SUM(G7:G11)</f>
        <v>48784</v>
      </c>
    </row>
    <row r="13" spans="1:7" ht="15" customHeight="1" x14ac:dyDescent="0.2">
      <c r="B13" s="54" t="s">
        <v>115</v>
      </c>
      <c r="C13" s="54"/>
      <c r="D13" s="54"/>
      <c r="E13" s="54"/>
      <c r="F13" s="54"/>
      <c r="G13" s="54"/>
    </row>
    <row r="14" spans="1:7" ht="6" customHeight="1" x14ac:dyDescent="0.2"/>
    <row r="15" spans="1:7" x14ac:dyDescent="0.2">
      <c r="B15" s="7" t="s">
        <v>116</v>
      </c>
      <c r="C15" s="14">
        <v>-3200</v>
      </c>
      <c r="D15" s="14">
        <v>-2800</v>
      </c>
      <c r="E15" s="14">
        <v>-2900</v>
      </c>
      <c r="F15" s="14">
        <v>-3500</v>
      </c>
      <c r="G15" s="14">
        <v>-3800</v>
      </c>
    </row>
    <row r="16" spans="1:7" x14ac:dyDescent="0.2">
      <c r="B16" s="7" t="s">
        <v>117</v>
      </c>
      <c r="C16" s="14">
        <v>-200</v>
      </c>
      <c r="D16" s="14">
        <v>-150</v>
      </c>
      <c r="E16" s="14">
        <v>-500</v>
      </c>
      <c r="F16" s="14">
        <v>-300</v>
      </c>
      <c r="G16" s="14">
        <v>-500</v>
      </c>
    </row>
    <row r="17" spans="2:7" x14ac:dyDescent="0.2">
      <c r="B17" s="7" t="s">
        <v>118</v>
      </c>
      <c r="C17" s="14">
        <v>1500</v>
      </c>
      <c r="D17" s="14">
        <v>-5200</v>
      </c>
      <c r="E17" s="14">
        <v>-800</v>
      </c>
      <c r="F17" s="14">
        <v>1500</v>
      </c>
      <c r="G17" s="14">
        <v>-1200</v>
      </c>
    </row>
    <row r="18" spans="2:7" x14ac:dyDescent="0.2">
      <c r="B18" s="20" t="s">
        <v>119</v>
      </c>
      <c r="C18" s="31">
        <f>SUM(C15:C17)</f>
        <v>-1900</v>
      </c>
      <c r="D18" s="31">
        <f>SUM(D15:D17)</f>
        <v>-8150</v>
      </c>
      <c r="E18" s="31">
        <f>SUM(E15:E17)</f>
        <v>-4200</v>
      </c>
      <c r="F18" s="31">
        <f>SUM(F15:F17)</f>
        <v>-2300</v>
      </c>
      <c r="G18" s="31">
        <f>SUM(G15:G17)</f>
        <v>-5500</v>
      </c>
    </row>
    <row r="19" spans="2:7" ht="13.25" customHeight="1" x14ac:dyDescent="0.2">
      <c r="B19" s="54" t="s">
        <v>120</v>
      </c>
      <c r="C19" s="54"/>
      <c r="D19" s="54"/>
      <c r="E19" s="54"/>
      <c r="F19" s="54"/>
      <c r="G19" s="54"/>
    </row>
    <row r="20" spans="2:7" ht="6" customHeight="1" x14ac:dyDescent="0.2"/>
    <row r="21" spans="2:7" x14ac:dyDescent="0.2">
      <c r="B21" s="7" t="s">
        <v>121</v>
      </c>
      <c r="C21" s="14">
        <v>-27375</v>
      </c>
      <c r="D21" s="14">
        <v>-14070</v>
      </c>
      <c r="E21" s="14">
        <v>-15740</v>
      </c>
      <c r="F21" s="14">
        <v>-42096</v>
      </c>
      <c r="G21" s="14">
        <v>-26680</v>
      </c>
    </row>
    <row r="22" spans="2:7" x14ac:dyDescent="0.2">
      <c r="B22" s="7" t="s">
        <v>122</v>
      </c>
      <c r="C22" s="14">
        <v>0</v>
      </c>
      <c r="D22" s="14">
        <v>-16000</v>
      </c>
      <c r="E22" s="14">
        <v>-18000</v>
      </c>
      <c r="F22" s="14">
        <v>0</v>
      </c>
      <c r="G22" s="14">
        <v>-17000</v>
      </c>
    </row>
    <row r="23" spans="2:7" x14ac:dyDescent="0.2">
      <c r="B23" s="7" t="s">
        <v>123</v>
      </c>
      <c r="C23" s="14">
        <v>-924</v>
      </c>
      <c r="D23" s="14">
        <v>-637</v>
      </c>
      <c r="E23" s="14">
        <v>-784</v>
      </c>
      <c r="F23" s="14">
        <v>-779</v>
      </c>
      <c r="G23" s="14">
        <v>-778</v>
      </c>
    </row>
    <row r="24" spans="2:7" x14ac:dyDescent="0.2">
      <c r="B24" s="4" t="s">
        <v>124</v>
      </c>
      <c r="C24" s="32">
        <f>SUM(C21:C23)</f>
        <v>-28299</v>
      </c>
      <c r="D24" s="32">
        <f>SUM(D21:D23)</f>
        <v>-30707</v>
      </c>
      <c r="E24" s="32">
        <f>SUM(E21:E23)</f>
        <v>-34524</v>
      </c>
      <c r="F24" s="32">
        <f>SUM(F21:F23)</f>
        <v>-42875</v>
      </c>
      <c r="G24" s="32">
        <f>SUM(G21:G23)</f>
        <v>-44458</v>
      </c>
    </row>
    <row r="25" spans="2:7" ht="12" customHeight="1" x14ac:dyDescent="0.2">
      <c r="B25" s="53" t="s">
        <v>125</v>
      </c>
      <c r="C25" s="53"/>
      <c r="D25" s="53"/>
      <c r="E25" s="53"/>
      <c r="F25" s="53"/>
      <c r="G25" s="53"/>
    </row>
    <row r="26" spans="2:7" x14ac:dyDescent="0.2">
      <c r="B26" s="7" t="s">
        <v>126</v>
      </c>
      <c r="C26" s="14">
        <v>100</v>
      </c>
      <c r="D26" s="14">
        <v>-50</v>
      </c>
      <c r="E26" s="14">
        <v>200</v>
      </c>
      <c r="F26" s="14">
        <v>-100</v>
      </c>
      <c r="G26" s="14">
        <v>150</v>
      </c>
    </row>
    <row r="27" spans="2:7" x14ac:dyDescent="0.2">
      <c r="B27" s="17" t="s">
        <v>127</v>
      </c>
      <c r="C27" s="33">
        <f>C12+C18+C24+C26</f>
        <v>7377</v>
      </c>
      <c r="D27" s="33">
        <f>D12+D18+D24+D26</f>
        <v>120</v>
      </c>
      <c r="E27" s="33">
        <f>E12+E18+E24+E26</f>
        <v>2429</v>
      </c>
      <c r="F27" s="33">
        <f>F12+F18+F24+F26</f>
        <v>-1550</v>
      </c>
      <c r="G27" s="33">
        <f>G12+G18+G24+G26</f>
        <v>-1024</v>
      </c>
    </row>
    <row r="28" spans="2:7" ht="6" customHeight="1" x14ac:dyDescent="0.2"/>
    <row r="29" spans="2:7" x14ac:dyDescent="0.2">
      <c r="B29" s="12" t="s">
        <v>128</v>
      </c>
      <c r="C29" s="34">
        <v>7203</v>
      </c>
      <c r="D29" s="34">
        <f>C30</f>
        <v>14580</v>
      </c>
      <c r="E29" s="34">
        <f t="shared" ref="E29:G29" si="0">D30</f>
        <v>14700</v>
      </c>
      <c r="F29" s="34">
        <f t="shared" si="0"/>
        <v>17129</v>
      </c>
      <c r="G29" s="34">
        <f t="shared" si="0"/>
        <v>15579</v>
      </c>
    </row>
    <row r="30" spans="2:7" x14ac:dyDescent="0.2">
      <c r="B30" s="17" t="s">
        <v>129</v>
      </c>
      <c r="C30" s="35">
        <f>C27+C29</f>
        <v>14580</v>
      </c>
      <c r="D30" s="35">
        <f t="shared" ref="D30:G30" si="1">D27+D29</f>
        <v>14700</v>
      </c>
      <c r="E30" s="35">
        <f t="shared" si="1"/>
        <v>17129</v>
      </c>
      <c r="F30" s="35">
        <f t="shared" si="1"/>
        <v>15579</v>
      </c>
      <c r="G30" s="35">
        <f t="shared" si="1"/>
        <v>14555</v>
      </c>
    </row>
    <row r="31" spans="2:7" ht="10.75" customHeight="1" x14ac:dyDescent="0.2">
      <c r="B31" s="53" t="s">
        <v>130</v>
      </c>
      <c r="C31" s="53"/>
      <c r="D31" s="53"/>
      <c r="E31" s="53"/>
      <c r="F31" s="53"/>
      <c r="G31" s="53"/>
    </row>
    <row r="32" spans="2:7" x14ac:dyDescent="0.2">
      <c r="B32" s="17" t="s">
        <v>131</v>
      </c>
      <c r="C32" s="36">
        <f>C12+C15</f>
        <v>34276</v>
      </c>
      <c r="D32" s="36">
        <f>D12+D15</f>
        <v>36227</v>
      </c>
      <c r="E32" s="36">
        <f>E12+E15</f>
        <v>38053</v>
      </c>
      <c r="F32" s="36">
        <f>F12+F15</f>
        <v>40225</v>
      </c>
      <c r="G32" s="36">
        <f>G12+G15</f>
        <v>44984</v>
      </c>
    </row>
    <row r="33" spans="2:7" x14ac:dyDescent="0.2">
      <c r="B33" s="24" t="s">
        <v>132</v>
      </c>
      <c r="C33" s="25" t="s">
        <v>134</v>
      </c>
      <c r="D33" s="25">
        <f>(D32)/D7</f>
        <v>1.112554511393649</v>
      </c>
      <c r="E33" s="25">
        <f>(E32)/E7</f>
        <v>0.98970064240942546</v>
      </c>
      <c r="F33" s="25">
        <f>(F32)/F7</f>
        <v>0.95087818830815785</v>
      </c>
      <c r="G33" s="25">
        <f>(G32)/G7</f>
        <v>0.97581292435844591</v>
      </c>
    </row>
    <row r="34" spans="2:7" x14ac:dyDescent="0.2">
      <c r="B34" s="24" t="s">
        <v>133</v>
      </c>
      <c r="C34" s="25">
        <f>ABS(C15)/'Income Statement'!C6</f>
        <v>2.0388788714805445E-2</v>
      </c>
      <c r="D34" s="25">
        <f>ABS(D15)/'Income Statement'!D6</f>
        <v>1.7054764065612113E-2</v>
      </c>
      <c r="E34" s="25">
        <f>ABS(E15)/'Income Statement'!E6</f>
        <v>1.5123543707041314E-2</v>
      </c>
      <c r="F34" s="25">
        <f>ABS(F15)/'Income Statement'!F6</f>
        <v>1.5523955681324237E-2</v>
      </c>
      <c r="G34" s="25">
        <f>ABS(G15)/'Income Statement'!G6</f>
        <v>1.5774638532460469E-2</v>
      </c>
    </row>
    <row r="36" spans="2:7" x14ac:dyDescent="0.2">
      <c r="B36" s="55"/>
      <c r="C36" s="55"/>
      <c r="D36" s="55"/>
      <c r="E36" s="55"/>
      <c r="F36" s="55"/>
      <c r="G36" s="55"/>
    </row>
  </sheetData>
  <mergeCells count="8">
    <mergeCell ref="B25:G25"/>
    <mergeCell ref="B31:G31"/>
    <mergeCell ref="B36:G36"/>
    <mergeCell ref="B1:G1"/>
    <mergeCell ref="B2:G2"/>
    <mergeCell ref="B5:G5"/>
    <mergeCell ref="B13:G13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1CA6-FD09-8B47-A5AF-C037613D994A}">
  <dimension ref="B2:I40"/>
  <sheetViews>
    <sheetView showGridLines="0" topLeftCell="A17" zoomScale="118" workbookViewId="0">
      <selection activeCell="M10" sqref="M10"/>
    </sheetView>
  </sheetViews>
  <sheetFormatPr baseColWidth="10" defaultRowHeight="15" x14ac:dyDescent="0.2"/>
  <cols>
    <col min="2" max="2" width="34.6640625" customWidth="1"/>
    <col min="3" max="3" width="15.83203125" customWidth="1"/>
    <col min="4" max="4" width="17.33203125" customWidth="1"/>
    <col min="5" max="5" width="16.6640625" customWidth="1"/>
    <col min="6" max="6" width="16.1640625" customWidth="1"/>
    <col min="7" max="7" width="21.1640625" customWidth="1"/>
    <col min="8" max="8" width="1.33203125" hidden="1" customWidth="1"/>
    <col min="9" max="9" width="56.83203125" customWidth="1"/>
  </cols>
  <sheetData>
    <row r="2" spans="2:9" ht="18" x14ac:dyDescent="0.2">
      <c r="B2" s="56" t="s">
        <v>135</v>
      </c>
      <c r="C2" s="56"/>
      <c r="D2" s="56"/>
      <c r="E2" s="56"/>
      <c r="F2" s="56"/>
      <c r="G2" s="56"/>
      <c r="H2" s="56"/>
      <c r="I2" s="56"/>
    </row>
    <row r="3" spans="2:9" x14ac:dyDescent="0.2">
      <c r="B3" s="57" t="s">
        <v>136</v>
      </c>
      <c r="C3" s="57"/>
      <c r="D3" s="57"/>
      <c r="E3" s="57"/>
      <c r="F3" s="57"/>
      <c r="G3" s="57"/>
      <c r="H3" s="57"/>
      <c r="I3" s="57"/>
    </row>
    <row r="4" spans="2:9" ht="22" customHeight="1" x14ac:dyDescent="0.2">
      <c r="B4" s="37" t="s">
        <v>137</v>
      </c>
      <c r="C4" s="38" t="s">
        <v>138</v>
      </c>
      <c r="D4" s="38" t="s">
        <v>139</v>
      </c>
      <c r="E4" s="38" t="s">
        <v>140</v>
      </c>
      <c r="F4" s="38" t="s">
        <v>141</v>
      </c>
      <c r="G4" s="38" t="s">
        <v>142</v>
      </c>
      <c r="H4" s="39"/>
      <c r="I4" s="37" t="s">
        <v>143</v>
      </c>
    </row>
    <row r="5" spans="2:9" ht="31" customHeight="1" x14ac:dyDescent="0.2">
      <c r="B5" s="58" t="s">
        <v>144</v>
      </c>
      <c r="C5" s="58"/>
      <c r="D5" s="58"/>
      <c r="E5" s="58"/>
      <c r="F5" s="58"/>
      <c r="G5" s="58"/>
      <c r="H5" s="58"/>
      <c r="I5" s="58"/>
    </row>
    <row r="6" spans="2:9" ht="65" customHeight="1" x14ac:dyDescent="0.2">
      <c r="B6" s="40" t="s">
        <v>145</v>
      </c>
      <c r="C6" s="41">
        <v>7.0000000000000007E-2</v>
      </c>
      <c r="D6" s="41">
        <v>0.09</v>
      </c>
      <c r="E6" s="41">
        <v>0.1</v>
      </c>
      <c r="F6" s="41">
        <v>0.1</v>
      </c>
      <c r="G6" s="41">
        <v>0.09</v>
      </c>
      <c r="H6" s="5"/>
      <c r="I6" s="42" t="s">
        <v>146</v>
      </c>
    </row>
    <row r="7" spans="2:9" ht="64" customHeight="1" x14ac:dyDescent="0.2">
      <c r="B7" s="43" t="s">
        <v>147</v>
      </c>
      <c r="C7" s="41">
        <v>0.62</v>
      </c>
      <c r="D7" s="41">
        <v>0.61499999999999999</v>
      </c>
      <c r="E7" s="41">
        <v>0.61</v>
      </c>
      <c r="F7" s="41">
        <v>0.61</v>
      </c>
      <c r="G7" s="41">
        <v>0.61</v>
      </c>
      <c r="H7" s="5"/>
      <c r="I7" s="44" t="s">
        <v>148</v>
      </c>
    </row>
    <row r="8" spans="2:9" ht="67" customHeight="1" x14ac:dyDescent="0.2">
      <c r="B8" s="40" t="s">
        <v>149</v>
      </c>
      <c r="C8" s="41">
        <v>0.112</v>
      </c>
      <c r="D8" s="41">
        <v>0.11</v>
      </c>
      <c r="E8" s="41">
        <v>0.11</v>
      </c>
      <c r="F8" s="41">
        <v>0.108</v>
      </c>
      <c r="G8" s="41">
        <v>0.108</v>
      </c>
      <c r="H8" s="5"/>
      <c r="I8" s="42" t="s">
        <v>150</v>
      </c>
    </row>
    <row r="9" spans="2:9" ht="72" customHeight="1" x14ac:dyDescent="0.2">
      <c r="B9" s="43" t="s">
        <v>151</v>
      </c>
      <c r="C9" s="41">
        <v>2.1000000000000001E-2</v>
      </c>
      <c r="D9" s="41">
        <v>0.02</v>
      </c>
      <c r="E9" s="41">
        <v>0.02</v>
      </c>
      <c r="F9" s="41">
        <v>0.02</v>
      </c>
      <c r="G9" s="41">
        <v>0.02</v>
      </c>
      <c r="H9" s="5"/>
      <c r="I9" s="44" t="s">
        <v>152</v>
      </c>
    </row>
    <row r="10" spans="2:9" ht="64" customHeight="1" x14ac:dyDescent="0.2">
      <c r="B10" s="40" t="s">
        <v>153</v>
      </c>
      <c r="C10" s="45">
        <v>3500</v>
      </c>
      <c r="D10" s="45">
        <v>3600</v>
      </c>
      <c r="E10" s="45">
        <v>3700</v>
      </c>
      <c r="F10" s="45">
        <v>3800</v>
      </c>
      <c r="G10" s="45">
        <v>3900</v>
      </c>
      <c r="H10" s="5"/>
      <c r="I10" s="42" t="s">
        <v>154</v>
      </c>
    </row>
    <row r="11" spans="2:9" ht="63" customHeight="1" x14ac:dyDescent="0.2">
      <c r="B11" s="43" t="s">
        <v>155</v>
      </c>
      <c r="C11" s="45">
        <v>780</v>
      </c>
      <c r="D11" s="45">
        <v>780</v>
      </c>
      <c r="E11" s="45">
        <v>780</v>
      </c>
      <c r="F11" s="45">
        <v>780</v>
      </c>
      <c r="G11" s="45">
        <v>780</v>
      </c>
      <c r="H11" s="5"/>
      <c r="I11" s="44" t="s">
        <v>156</v>
      </c>
    </row>
    <row r="12" spans="2:9" ht="67" customHeight="1" x14ac:dyDescent="0.2">
      <c r="B12" s="40" t="s">
        <v>157</v>
      </c>
      <c r="C12" s="41">
        <v>0.255</v>
      </c>
      <c r="D12" s="41">
        <v>0.255</v>
      </c>
      <c r="E12" s="41">
        <v>0.255</v>
      </c>
      <c r="F12" s="41">
        <v>0.255</v>
      </c>
      <c r="G12" s="41">
        <v>0.255</v>
      </c>
      <c r="H12" s="5"/>
      <c r="I12" s="42" t="s">
        <v>158</v>
      </c>
    </row>
    <row r="13" spans="2:9" ht="27" customHeight="1" x14ac:dyDescent="0.2">
      <c r="B13" s="37" t="s">
        <v>137</v>
      </c>
      <c r="C13" s="38" t="s">
        <v>138</v>
      </c>
      <c r="D13" s="38" t="s">
        <v>139</v>
      </c>
      <c r="E13" s="38" t="s">
        <v>140</v>
      </c>
      <c r="F13" s="38" t="s">
        <v>141</v>
      </c>
      <c r="G13" s="38" t="s">
        <v>142</v>
      </c>
      <c r="H13" s="39"/>
      <c r="I13" s="37" t="s">
        <v>143</v>
      </c>
    </row>
    <row r="14" spans="2:9" ht="33" customHeight="1" x14ac:dyDescent="0.2">
      <c r="B14" s="58" t="s">
        <v>159</v>
      </c>
      <c r="C14" s="58"/>
      <c r="D14" s="58"/>
      <c r="E14" s="58"/>
      <c r="F14" s="58"/>
      <c r="G14" s="58"/>
      <c r="H14" s="58"/>
      <c r="I14" s="58"/>
    </row>
    <row r="15" spans="2:9" ht="61" customHeight="1" x14ac:dyDescent="0.2">
      <c r="B15" s="40" t="s">
        <v>160</v>
      </c>
      <c r="C15" s="41">
        <v>1.6E-2</v>
      </c>
      <c r="D15" s="41">
        <v>1.6E-2</v>
      </c>
      <c r="E15" s="41">
        <v>1.6E-2</v>
      </c>
      <c r="F15" s="41">
        <v>1.6E-2</v>
      </c>
      <c r="G15" s="41">
        <v>1.6E-2</v>
      </c>
      <c r="H15" s="5"/>
      <c r="I15" s="42" t="s">
        <v>161</v>
      </c>
    </row>
    <row r="16" spans="2:9" ht="50" customHeight="1" x14ac:dyDescent="0.2">
      <c r="B16" s="43" t="s">
        <v>199</v>
      </c>
      <c r="C16" s="61">
        <v>-400</v>
      </c>
      <c r="D16" s="61">
        <v>-400</v>
      </c>
      <c r="E16" s="61">
        <v>-500</v>
      </c>
      <c r="F16" s="61">
        <v>-500</v>
      </c>
      <c r="G16" s="61">
        <v>-500</v>
      </c>
      <c r="H16" s="5"/>
      <c r="I16" s="44" t="s">
        <v>200</v>
      </c>
    </row>
    <row r="17" spans="2:9" ht="50" customHeight="1" x14ac:dyDescent="0.2">
      <c r="B17" s="40" t="s">
        <v>201</v>
      </c>
      <c r="C17" s="61">
        <v>-800</v>
      </c>
      <c r="D17" s="61">
        <v>-800</v>
      </c>
      <c r="E17" s="61">
        <v>-800</v>
      </c>
      <c r="F17" s="61">
        <v>-800</v>
      </c>
      <c r="G17" s="61">
        <v>-800</v>
      </c>
      <c r="H17" s="5"/>
      <c r="I17" s="42" t="s">
        <v>202</v>
      </c>
    </row>
    <row r="18" spans="2:9" ht="50" customHeight="1" x14ac:dyDescent="0.2">
      <c r="B18" s="43" t="s">
        <v>203</v>
      </c>
      <c r="C18" s="61">
        <v>-20500</v>
      </c>
      <c r="D18" s="61">
        <v>-22150</v>
      </c>
      <c r="E18" s="61">
        <v>-26300</v>
      </c>
      <c r="F18" s="61">
        <v>-30650</v>
      </c>
      <c r="G18" s="61">
        <v>-32650</v>
      </c>
      <c r="H18" s="5"/>
      <c r="I18" s="44" t="s">
        <v>204</v>
      </c>
    </row>
    <row r="19" spans="2:9" ht="50" customHeight="1" x14ac:dyDescent="0.2">
      <c r="B19" s="40" t="s">
        <v>205</v>
      </c>
      <c r="C19" s="61">
        <v>-17000</v>
      </c>
      <c r="D19" s="61" t="s">
        <v>206</v>
      </c>
      <c r="E19" s="61">
        <v>-18000</v>
      </c>
      <c r="F19" s="61" t="s">
        <v>206</v>
      </c>
      <c r="G19" s="61">
        <v>-19000</v>
      </c>
      <c r="H19" s="5"/>
      <c r="I19" s="42" t="s">
        <v>207</v>
      </c>
    </row>
    <row r="20" spans="2:9" ht="50" customHeight="1" x14ac:dyDescent="0.2">
      <c r="B20" s="43" t="s">
        <v>208</v>
      </c>
      <c r="C20" s="61">
        <v>-780</v>
      </c>
      <c r="D20" s="61">
        <v>-780</v>
      </c>
      <c r="E20" s="61">
        <v>-780</v>
      </c>
      <c r="F20" s="61">
        <v>-780</v>
      </c>
      <c r="G20" s="61">
        <v>-780</v>
      </c>
      <c r="H20" s="5"/>
      <c r="I20" s="44" t="s">
        <v>209</v>
      </c>
    </row>
    <row r="21" spans="2:9" ht="50" customHeight="1" x14ac:dyDescent="0.2">
      <c r="B21" s="40" t="s">
        <v>210</v>
      </c>
      <c r="C21" s="62">
        <v>100</v>
      </c>
      <c r="D21" s="62">
        <v>100</v>
      </c>
      <c r="E21" s="62">
        <v>100</v>
      </c>
      <c r="F21" s="62">
        <v>100</v>
      </c>
      <c r="G21" s="62">
        <v>100</v>
      </c>
      <c r="H21" s="5"/>
      <c r="I21" s="42" t="s">
        <v>212</v>
      </c>
    </row>
    <row r="22" spans="2:9" ht="50" customHeight="1" x14ac:dyDescent="0.2">
      <c r="B22" s="43" t="s">
        <v>211</v>
      </c>
      <c r="C22" s="61">
        <v>-1800</v>
      </c>
      <c r="D22" s="61">
        <v>-2000</v>
      </c>
      <c r="E22" s="61">
        <v>-2200</v>
      </c>
      <c r="F22" s="61">
        <v>-2500</v>
      </c>
      <c r="G22" s="61">
        <v>-2500</v>
      </c>
      <c r="H22" s="5"/>
      <c r="I22" s="44" t="s">
        <v>213</v>
      </c>
    </row>
    <row r="23" spans="2:9" s="65" customFormat="1" ht="29" customHeight="1" x14ac:dyDescent="0.2">
      <c r="B23" s="37" t="s">
        <v>137</v>
      </c>
      <c r="C23" s="38" t="s">
        <v>138</v>
      </c>
      <c r="D23" s="38" t="s">
        <v>139</v>
      </c>
      <c r="E23" s="38" t="s">
        <v>140</v>
      </c>
      <c r="F23" s="38" t="s">
        <v>141</v>
      </c>
      <c r="G23" s="38" t="s">
        <v>142</v>
      </c>
      <c r="H23" s="39"/>
      <c r="I23" s="37" t="s">
        <v>143</v>
      </c>
    </row>
    <row r="24" spans="2:9" ht="32" customHeight="1" x14ac:dyDescent="0.2">
      <c r="B24" s="58" t="s">
        <v>167</v>
      </c>
      <c r="C24" s="58"/>
      <c r="D24" s="58"/>
      <c r="E24" s="58"/>
      <c r="F24" s="58"/>
      <c r="G24" s="58"/>
      <c r="H24" s="58"/>
      <c r="I24" s="58"/>
    </row>
    <row r="25" spans="2:9" ht="50" customHeight="1" x14ac:dyDescent="0.2">
      <c r="B25" s="40" t="s">
        <v>168</v>
      </c>
      <c r="C25" s="41">
        <v>0.06</v>
      </c>
      <c r="D25" s="41">
        <v>0.06</v>
      </c>
      <c r="E25" s="41">
        <v>0.06</v>
      </c>
      <c r="F25" s="41">
        <v>0.06</v>
      </c>
      <c r="G25" s="41">
        <v>0.06</v>
      </c>
      <c r="H25" s="5"/>
      <c r="I25" s="42" t="s">
        <v>169</v>
      </c>
    </row>
    <row r="26" spans="2:9" ht="50" customHeight="1" x14ac:dyDescent="0.2">
      <c r="B26" s="43" t="s">
        <v>170</v>
      </c>
      <c r="C26" s="59">
        <v>88</v>
      </c>
      <c r="D26" s="59">
        <v>88</v>
      </c>
      <c r="E26" s="59">
        <v>88</v>
      </c>
      <c r="F26" s="59">
        <v>87</v>
      </c>
      <c r="G26" s="59">
        <v>87</v>
      </c>
      <c r="H26" s="5"/>
      <c r="I26" s="44" t="s">
        <v>171</v>
      </c>
    </row>
    <row r="27" spans="2:9" ht="50" customHeight="1" x14ac:dyDescent="0.2">
      <c r="B27" s="40" t="s">
        <v>172</v>
      </c>
      <c r="C27" s="41">
        <v>3.7999999999999999E-2</v>
      </c>
      <c r="D27" s="41">
        <v>3.7999999999999999E-2</v>
      </c>
      <c r="E27" s="41">
        <v>3.6999999999999998E-2</v>
      </c>
      <c r="F27" s="41">
        <v>3.6999999999999998E-2</v>
      </c>
      <c r="G27" s="41">
        <v>3.6999999999999998E-2</v>
      </c>
      <c r="H27" s="5"/>
      <c r="I27" s="42" t="s">
        <v>173</v>
      </c>
    </row>
    <row r="28" spans="2:9" ht="50" customHeight="1" x14ac:dyDescent="0.2">
      <c r="B28" s="43" t="s">
        <v>174</v>
      </c>
      <c r="C28" s="59">
        <v>1830</v>
      </c>
      <c r="D28" s="59">
        <v>1830</v>
      </c>
      <c r="E28" s="59">
        <v>1830</v>
      </c>
      <c r="F28" s="59">
        <v>1830</v>
      </c>
      <c r="G28" s="59">
        <v>1830</v>
      </c>
      <c r="H28" s="5"/>
      <c r="I28" s="44" t="s">
        <v>175</v>
      </c>
    </row>
    <row r="29" spans="2:9" ht="50" customHeight="1" x14ac:dyDescent="0.2">
      <c r="B29" s="40" t="s">
        <v>176</v>
      </c>
      <c r="C29" s="45">
        <v>250</v>
      </c>
      <c r="D29" s="45">
        <v>250</v>
      </c>
      <c r="E29" s="45">
        <v>250</v>
      </c>
      <c r="F29" s="45">
        <v>250</v>
      </c>
      <c r="G29" s="45">
        <v>260</v>
      </c>
      <c r="H29" s="5"/>
      <c r="I29" s="42" t="s">
        <v>177</v>
      </c>
    </row>
    <row r="30" spans="2:9" ht="50" customHeight="1" x14ac:dyDescent="0.2">
      <c r="B30" s="40" t="s">
        <v>178</v>
      </c>
      <c r="C30" s="41">
        <v>0.255</v>
      </c>
      <c r="D30" s="41">
        <v>0.255</v>
      </c>
      <c r="E30" s="41">
        <v>0.255</v>
      </c>
      <c r="F30" s="41">
        <v>0.255</v>
      </c>
      <c r="G30" s="41">
        <v>0.255</v>
      </c>
      <c r="H30" s="5"/>
      <c r="I30" s="42" t="s">
        <v>158</v>
      </c>
    </row>
    <row r="31" spans="2:9" ht="50" customHeight="1" x14ac:dyDescent="0.2">
      <c r="B31" s="40" t="s">
        <v>179</v>
      </c>
      <c r="C31" s="59">
        <v>52</v>
      </c>
      <c r="D31" s="59">
        <v>52</v>
      </c>
      <c r="E31" s="59">
        <v>52</v>
      </c>
      <c r="F31" s="59">
        <v>50</v>
      </c>
      <c r="G31" s="59">
        <v>50</v>
      </c>
      <c r="H31" s="5"/>
      <c r="I31" s="42" t="s">
        <v>180</v>
      </c>
    </row>
    <row r="32" spans="2:9" ht="50" customHeight="1" x14ac:dyDescent="0.2">
      <c r="B32" s="43" t="s">
        <v>181</v>
      </c>
      <c r="C32" s="59">
        <v>1540</v>
      </c>
      <c r="D32" s="59">
        <v>1570</v>
      </c>
      <c r="E32" s="59">
        <v>1600</v>
      </c>
      <c r="F32" s="59">
        <v>1640</v>
      </c>
      <c r="G32" s="59">
        <v>1675</v>
      </c>
      <c r="H32" s="5"/>
      <c r="I32" s="44" t="s">
        <v>182</v>
      </c>
    </row>
    <row r="33" spans="2:9" ht="50" customHeight="1" x14ac:dyDescent="0.2">
      <c r="B33" s="40" t="s">
        <v>183</v>
      </c>
      <c r="C33" s="41">
        <v>0.72</v>
      </c>
      <c r="D33" s="41">
        <v>0.72</v>
      </c>
      <c r="E33" s="41">
        <v>0.72</v>
      </c>
      <c r="F33" s="41">
        <v>0.72</v>
      </c>
      <c r="G33" s="41">
        <v>0.72</v>
      </c>
      <c r="H33" s="5"/>
      <c r="I33" s="42" t="s">
        <v>184</v>
      </c>
    </row>
    <row r="34" spans="2:9" ht="50" customHeight="1" x14ac:dyDescent="0.2">
      <c r="B34" s="43" t="s">
        <v>185</v>
      </c>
      <c r="C34" s="41">
        <v>2.1000000000000001E-2</v>
      </c>
      <c r="D34" s="41">
        <v>2.1000000000000001E-2</v>
      </c>
      <c r="E34" s="41">
        <v>2.1000000000000001E-2</v>
      </c>
      <c r="F34" s="41">
        <v>2.1000000000000001E-2</v>
      </c>
      <c r="G34" s="41">
        <v>2.1000000000000001E-2</v>
      </c>
      <c r="H34" s="5"/>
      <c r="I34" s="44" t="s">
        <v>186</v>
      </c>
    </row>
    <row r="35" spans="2:9" ht="50" customHeight="1" x14ac:dyDescent="0.2">
      <c r="B35" s="40" t="s">
        <v>187</v>
      </c>
      <c r="C35" s="41">
        <v>1.2999999999999999E-2</v>
      </c>
      <c r="D35" s="41">
        <v>1.2999999999999999E-2</v>
      </c>
      <c r="E35" s="41">
        <v>1.2999999999999999E-2</v>
      </c>
      <c r="F35" s="41">
        <v>1.2999999999999999E-2</v>
      </c>
      <c r="G35" s="41">
        <v>1.2999999999999999E-2</v>
      </c>
      <c r="H35" s="5"/>
      <c r="I35" s="42" t="s">
        <v>188</v>
      </c>
    </row>
    <row r="36" spans="2:9" ht="50" customHeight="1" x14ac:dyDescent="0.2">
      <c r="B36" s="43" t="s">
        <v>189</v>
      </c>
      <c r="C36" s="59">
        <v>6600</v>
      </c>
      <c r="D36" s="59">
        <v>6700</v>
      </c>
      <c r="E36" s="59">
        <v>6800</v>
      </c>
      <c r="F36" s="59">
        <v>6900</v>
      </c>
      <c r="G36" s="59">
        <v>7000</v>
      </c>
      <c r="H36" s="5"/>
      <c r="I36" s="44" t="s">
        <v>190</v>
      </c>
    </row>
    <row r="37" spans="2:9" ht="50" customHeight="1" x14ac:dyDescent="0.2">
      <c r="B37" s="40" t="s">
        <v>191</v>
      </c>
      <c r="C37" s="41">
        <v>3.5000000000000003E-2</v>
      </c>
      <c r="D37" s="41">
        <v>3.5000000000000003E-2</v>
      </c>
      <c r="E37" s="41">
        <v>3.5000000000000003E-2</v>
      </c>
      <c r="F37" s="41">
        <v>3.5000000000000003E-2</v>
      </c>
      <c r="G37" s="41">
        <v>3.5000000000000003E-2</v>
      </c>
      <c r="H37" s="5"/>
      <c r="I37" s="42" t="s">
        <v>190</v>
      </c>
    </row>
    <row r="38" spans="2:9" ht="50" customHeight="1" x14ac:dyDescent="0.2">
      <c r="B38" s="43" t="s">
        <v>192</v>
      </c>
      <c r="C38" s="59">
        <v>358</v>
      </c>
      <c r="D38" s="59">
        <v>355</v>
      </c>
      <c r="E38" s="59">
        <v>352</v>
      </c>
      <c r="F38" s="59">
        <v>349</v>
      </c>
      <c r="G38" s="59">
        <v>346</v>
      </c>
      <c r="H38" s="5"/>
      <c r="I38" s="44" t="s">
        <v>193</v>
      </c>
    </row>
    <row r="39" spans="2:9" ht="50" customHeight="1" x14ac:dyDescent="0.2">
      <c r="B39" s="40" t="s">
        <v>194</v>
      </c>
      <c r="C39" s="59">
        <v>3780</v>
      </c>
      <c r="D39" s="59">
        <v>3860</v>
      </c>
      <c r="E39" s="59">
        <v>3940</v>
      </c>
      <c r="F39" s="59">
        <v>4020</v>
      </c>
      <c r="G39" s="59">
        <v>4100</v>
      </c>
      <c r="H39" s="5"/>
      <c r="I39" s="42" t="s">
        <v>195</v>
      </c>
    </row>
    <row r="40" spans="2:9" ht="50" customHeight="1" x14ac:dyDescent="0.2">
      <c r="B40" s="43" t="s">
        <v>196</v>
      </c>
      <c r="C40" s="60">
        <v>0.05</v>
      </c>
      <c r="D40" s="60">
        <v>0.05</v>
      </c>
      <c r="E40" s="60">
        <v>0.05</v>
      </c>
      <c r="F40" s="60">
        <v>0.05</v>
      </c>
      <c r="G40" s="60">
        <v>0.05</v>
      </c>
      <c r="H40" s="5"/>
      <c r="I40" s="44" t="s">
        <v>197</v>
      </c>
    </row>
  </sheetData>
  <mergeCells count="5">
    <mergeCell ref="B2:I2"/>
    <mergeCell ref="B3:I3"/>
    <mergeCell ref="B5:I5"/>
    <mergeCell ref="B14:I14"/>
    <mergeCell ref="B24:I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86F3-B61F-F84F-9655-5D0FB57A4624}">
  <dimension ref="A1:F30"/>
  <sheetViews>
    <sheetView showGridLines="0" zoomScale="96" zoomScaleNormal="96" workbookViewId="0">
      <selection activeCell="I29" sqref="I29"/>
    </sheetView>
  </sheetViews>
  <sheetFormatPr baseColWidth="10" defaultRowHeight="15" x14ac:dyDescent="0.2"/>
  <cols>
    <col min="1" max="6" width="35.83203125" customWidth="1"/>
  </cols>
  <sheetData>
    <row r="1" spans="1:6" ht="22" customHeight="1" x14ac:dyDescent="0.2">
      <c r="A1" s="51" t="s">
        <v>214</v>
      </c>
      <c r="B1" s="51"/>
      <c r="C1" s="51"/>
      <c r="D1" s="51"/>
      <c r="E1" s="51"/>
      <c r="F1" s="51"/>
    </row>
    <row r="2" spans="1:6" ht="22" customHeight="1" x14ac:dyDescent="0.2">
      <c r="A2" s="52"/>
      <c r="B2" s="52"/>
      <c r="C2" s="52"/>
      <c r="D2" s="52"/>
      <c r="E2" s="52"/>
      <c r="F2" s="52"/>
    </row>
    <row r="3" spans="1:6" ht="22" customHeight="1" x14ac:dyDescent="0.2"/>
    <row r="4" spans="1:6" ht="22" customHeight="1" x14ac:dyDescent="0.2">
      <c r="A4" s="63"/>
      <c r="B4" s="63" t="s">
        <v>162</v>
      </c>
      <c r="C4" s="63" t="s">
        <v>163</v>
      </c>
      <c r="D4" s="63" t="s">
        <v>164</v>
      </c>
      <c r="E4" s="63" t="s">
        <v>165</v>
      </c>
      <c r="F4" s="63" t="s">
        <v>166</v>
      </c>
    </row>
    <row r="5" spans="1:6" ht="22" customHeight="1" x14ac:dyDescent="0.2">
      <c r="A5" s="64" t="s">
        <v>43</v>
      </c>
      <c r="B5" s="64"/>
      <c r="C5" s="64"/>
      <c r="D5" s="64"/>
      <c r="E5" s="64"/>
      <c r="F5" s="64"/>
    </row>
    <row r="6" spans="1:6" ht="22" customHeight="1" x14ac:dyDescent="0.2">
      <c r="A6" s="12" t="s">
        <v>44</v>
      </c>
      <c r="B6" s="13">
        <f>'Income Statement'!C6*(1+'Assumptions Sheet'!C6)</f>
        <v>167935.43000000002</v>
      </c>
      <c r="C6" s="13">
        <f>'Income Statement'!D6*(1+'Assumptions Sheet'!D6)</f>
        <v>178952.93000000002</v>
      </c>
      <c r="D6" s="13">
        <f>'Income Statement'!E6*(1+'Assumptions Sheet'!E6)</f>
        <v>210929.40000000002</v>
      </c>
      <c r="E6" s="13">
        <f>'Income Statement'!F6*(1+'Assumptions Sheet'!F6)</f>
        <v>248003.80000000002</v>
      </c>
      <c r="F6" s="13">
        <f>'Income Statement'!G6*(1+'Assumptions Sheet'!G6)</f>
        <v>262573.37</v>
      </c>
    </row>
    <row r="7" spans="1:6" ht="22" customHeight="1" x14ac:dyDescent="0.2">
      <c r="A7" s="54" t="s">
        <v>45</v>
      </c>
      <c r="B7" s="54"/>
      <c r="C7" s="54"/>
      <c r="D7" s="54"/>
      <c r="E7" s="54"/>
      <c r="F7" s="54"/>
    </row>
    <row r="8" spans="1:6" ht="22" customHeight="1" x14ac:dyDescent="0.2">
      <c r="A8" s="7" t="s">
        <v>46</v>
      </c>
      <c r="B8" s="14">
        <f>B6*'Assumptions Sheet'!C7</f>
        <v>104119.96660000001</v>
      </c>
      <c r="C8" s="14">
        <f>C6*'Assumptions Sheet'!D7</f>
        <v>110056.05195000001</v>
      </c>
      <c r="D8" s="14">
        <f>D6*'Assumptions Sheet'!E7</f>
        <v>128666.93400000001</v>
      </c>
      <c r="E8" s="14">
        <f>E6*'Assumptions Sheet'!F7</f>
        <v>151282.318</v>
      </c>
      <c r="F8" s="14">
        <f>F6*'Assumptions Sheet'!G7</f>
        <v>160169.75569999998</v>
      </c>
    </row>
    <row r="9" spans="1:6" ht="22" customHeight="1" x14ac:dyDescent="0.2">
      <c r="A9" s="7" t="s">
        <v>47</v>
      </c>
      <c r="B9" s="14">
        <f>'Income Statement'!C9*'Assumptions Sheet'!C8</f>
        <v>1990.6880000000001</v>
      </c>
      <c r="C9" s="14">
        <f>'Income Statement'!D9*'Assumptions Sheet'!D8</f>
        <v>2156.66</v>
      </c>
      <c r="D9" s="14">
        <f>'Income Statement'!E9*'Assumptions Sheet'!E8</f>
        <v>2486.66</v>
      </c>
      <c r="E9" s="14">
        <f>'Income Statement'!F9*'Assumptions Sheet'!F8</f>
        <v>2807.8919999999998</v>
      </c>
      <c r="F9" s="14">
        <f>'Income Statement'!G9*'Assumptions Sheet'!G8</f>
        <v>2919.348</v>
      </c>
    </row>
    <row r="10" spans="1:6" ht="22" customHeight="1" x14ac:dyDescent="0.2">
      <c r="A10" s="15" t="s">
        <v>48</v>
      </c>
      <c r="B10" s="16">
        <f>B8+B9</f>
        <v>106110.65460000001</v>
      </c>
      <c r="C10" s="16">
        <f>C8+C9</f>
        <v>112212.71195000001</v>
      </c>
      <c r="D10" s="16">
        <f>D8+D9</f>
        <v>131153.59400000001</v>
      </c>
      <c r="E10" s="16">
        <f>E8+E9</f>
        <v>154090.21</v>
      </c>
      <c r="F10" s="16">
        <f>F8+F9</f>
        <v>163089.10369999998</v>
      </c>
    </row>
    <row r="11" spans="1:6" ht="20" customHeight="1" x14ac:dyDescent="0.2">
      <c r="A11" s="54" t="s">
        <v>49</v>
      </c>
      <c r="B11" s="54"/>
      <c r="C11" s="54"/>
      <c r="D11" s="54"/>
      <c r="E11" s="54"/>
      <c r="F11" s="54"/>
    </row>
    <row r="12" spans="1:6" ht="20" customHeight="1" x14ac:dyDescent="0.2">
      <c r="A12" s="17" t="s">
        <v>50</v>
      </c>
      <c r="B12" s="18">
        <f>B6-B10</f>
        <v>61824.775400000013</v>
      </c>
      <c r="C12" s="18">
        <f>C6-C10</f>
        <v>66740.21805000001</v>
      </c>
      <c r="D12" s="18">
        <f>D6-D10</f>
        <v>79775.806000000011</v>
      </c>
      <c r="E12" s="18">
        <f>E6-E10</f>
        <v>93913.590000000026</v>
      </c>
      <c r="F12" s="18">
        <f>F6-F10</f>
        <v>99484.266300000018</v>
      </c>
    </row>
    <row r="13" spans="1:6" ht="20" customHeight="1" x14ac:dyDescent="0.2">
      <c r="A13" s="7" t="s">
        <v>51</v>
      </c>
      <c r="B13" s="14">
        <f>B6*'Assumptions Sheet'!C9</f>
        <v>3526.6440300000008</v>
      </c>
      <c r="C13" s="14">
        <f>C6*'Assumptions Sheet'!D9</f>
        <v>3579.0586000000003</v>
      </c>
      <c r="D13" s="14">
        <f>D6*'Assumptions Sheet'!E9</f>
        <v>4218.5880000000006</v>
      </c>
      <c r="E13" s="14">
        <f>E6*'Assumptions Sheet'!F9</f>
        <v>4960.076</v>
      </c>
      <c r="F13" s="14">
        <f>F6*'Assumptions Sheet'!G9</f>
        <v>5251.4674000000005</v>
      </c>
    </row>
    <row r="14" spans="1:6" ht="22" customHeight="1" x14ac:dyDescent="0.2">
      <c r="A14" s="17" t="s">
        <v>52</v>
      </c>
      <c r="B14" s="19">
        <f>B12-B13</f>
        <v>58298.13137000001</v>
      </c>
      <c r="C14" s="19">
        <f>C12-C13</f>
        <v>63161.159450000006</v>
      </c>
      <c r="D14" s="19">
        <f>D12-D13</f>
        <v>75557.218000000008</v>
      </c>
      <c r="E14" s="19">
        <f>E12-E13</f>
        <v>88953.514000000025</v>
      </c>
      <c r="F14" s="19">
        <f>F12-F13</f>
        <v>94232.798900000023</v>
      </c>
    </row>
    <row r="15" spans="1:6" ht="22" customHeight="1" x14ac:dyDescent="0.2">
      <c r="A15" s="54" t="s">
        <v>53</v>
      </c>
      <c r="B15" s="54"/>
      <c r="C15" s="54"/>
      <c r="D15" s="54"/>
      <c r="E15" s="54"/>
      <c r="F15" s="54"/>
    </row>
    <row r="16" spans="1:6" ht="22" customHeight="1" x14ac:dyDescent="0.2">
      <c r="A16" s="7" t="s">
        <v>54</v>
      </c>
      <c r="B16" s="14">
        <f>'Assumptions Sheet'!C10</f>
        <v>3500</v>
      </c>
      <c r="C16" s="14">
        <f>'Assumptions Sheet'!D10</f>
        <v>3600</v>
      </c>
      <c r="D16" s="14">
        <f>'Assumptions Sheet'!E10</f>
        <v>3700</v>
      </c>
      <c r="E16" s="14">
        <f>'Assumptions Sheet'!F10</f>
        <v>3800</v>
      </c>
      <c r="F16" s="14">
        <f>'Assumptions Sheet'!G10</f>
        <v>3900</v>
      </c>
    </row>
    <row r="17" spans="1:6" ht="22" customHeight="1" x14ac:dyDescent="0.2">
      <c r="A17" s="7" t="s">
        <v>55</v>
      </c>
      <c r="B17" s="14">
        <f>'Assumptions Sheet'!C11</f>
        <v>780</v>
      </c>
      <c r="C17" s="14">
        <f>'Assumptions Sheet'!D11</f>
        <v>780</v>
      </c>
      <c r="D17" s="14">
        <f>'Assumptions Sheet'!E11</f>
        <v>780</v>
      </c>
      <c r="E17" s="14">
        <f>'Assumptions Sheet'!F11</f>
        <v>780</v>
      </c>
      <c r="F17" s="14">
        <f>'Assumptions Sheet'!G11</f>
        <v>780</v>
      </c>
    </row>
    <row r="18" spans="1:6" ht="22" customHeight="1" x14ac:dyDescent="0.2">
      <c r="A18" s="20" t="s">
        <v>56</v>
      </c>
      <c r="B18" s="21">
        <f>B14+B16-B17</f>
        <v>61018.13137000001</v>
      </c>
      <c r="C18" s="21">
        <f>C14+C16-C17</f>
        <v>65981.159450000006</v>
      </c>
      <c r="D18" s="21">
        <f>D14+D16-D17</f>
        <v>78477.218000000008</v>
      </c>
      <c r="E18" s="21">
        <f>E14+E16-E17</f>
        <v>91973.514000000025</v>
      </c>
      <c r="F18" s="21">
        <f>F14+F16-F17</f>
        <v>97352.798900000023</v>
      </c>
    </row>
    <row r="19" spans="1:6" ht="22" customHeight="1" x14ac:dyDescent="0.2">
      <c r="A19" s="7" t="s">
        <v>57</v>
      </c>
      <c r="B19" s="14">
        <f>'Projected P&amp;L'!B18*'Assumptions Sheet'!C12</f>
        <v>15559.623499350002</v>
      </c>
      <c r="C19" s="14">
        <f>'Projected P&amp;L'!C18*'Assumptions Sheet'!D12</f>
        <v>16825.195659750003</v>
      </c>
      <c r="D19" s="14">
        <f>'Projected P&amp;L'!D18*'Assumptions Sheet'!E12</f>
        <v>20011.690590000002</v>
      </c>
      <c r="E19" s="14">
        <f>'Projected P&amp;L'!E18*'Assumptions Sheet'!F12</f>
        <v>23453.246070000008</v>
      </c>
      <c r="F19" s="14">
        <f>'Projected P&amp;L'!F18*'Assumptions Sheet'!G12</f>
        <v>24824.963719500007</v>
      </c>
    </row>
    <row r="20" spans="1:6" ht="22" customHeight="1" x14ac:dyDescent="0.2">
      <c r="A20" s="17" t="s">
        <v>58</v>
      </c>
      <c r="B20" s="22">
        <f>B18-B19</f>
        <v>45458.507870650006</v>
      </c>
      <c r="C20" s="22">
        <f>C18-C19</f>
        <v>49155.963790250004</v>
      </c>
      <c r="D20" s="22">
        <f>D18-D19</f>
        <v>58465.52741000001</v>
      </c>
      <c r="E20" s="22">
        <f>E18-E19</f>
        <v>68520.267930000016</v>
      </c>
      <c r="F20" s="22">
        <f>F18-F19</f>
        <v>72527.835180500013</v>
      </c>
    </row>
    <row r="21" spans="1:6" ht="22" customHeight="1" x14ac:dyDescent="0.2">
      <c r="A21" s="7" t="s">
        <v>59</v>
      </c>
      <c r="B21" s="14">
        <v>415</v>
      </c>
      <c r="C21" s="14">
        <v>415</v>
      </c>
      <c r="D21" s="14">
        <v>415</v>
      </c>
      <c r="E21" s="14">
        <v>415</v>
      </c>
      <c r="F21" s="14">
        <v>415</v>
      </c>
    </row>
    <row r="22" spans="1:6" ht="22" customHeight="1" thickBot="1" x14ac:dyDescent="0.25">
      <c r="A22" s="17" t="s">
        <v>60</v>
      </c>
      <c r="B22" s="23">
        <f>B20-B21</f>
        <v>45043.507870650006</v>
      </c>
      <c r="C22" s="23">
        <f>C20-C21</f>
        <v>48740.963790250004</v>
      </c>
      <c r="D22" s="23">
        <f>D20-D21</f>
        <v>58050.52741000001</v>
      </c>
      <c r="E22" s="23">
        <f>E20-E21</f>
        <v>68105.267930000016</v>
      </c>
      <c r="F22" s="23">
        <f>F20-F21</f>
        <v>72112.835180500013</v>
      </c>
    </row>
    <row r="23" spans="1:6" ht="22" customHeight="1" x14ac:dyDescent="0.2">
      <c r="A23" s="53" t="s">
        <v>61</v>
      </c>
      <c r="B23" s="53"/>
      <c r="C23" s="53"/>
      <c r="D23" s="53"/>
      <c r="E23" s="53"/>
      <c r="F23" s="53"/>
    </row>
    <row r="24" spans="1:6" ht="22" customHeight="1" x14ac:dyDescent="0.2">
      <c r="A24" s="24" t="s">
        <v>62</v>
      </c>
      <c r="B24" s="25">
        <f>B12/B6</f>
        <v>0.36814611068075392</v>
      </c>
      <c r="C24" s="25">
        <f>C12/C6</f>
        <v>0.37294845102564123</v>
      </c>
      <c r="D24" s="25">
        <f>D12/D6</f>
        <v>0.37821093692960772</v>
      </c>
      <c r="E24" s="25">
        <f>E12/E6</f>
        <v>0.37867802832053388</v>
      </c>
      <c r="F24" s="25">
        <f>F12/F6</f>
        <v>0.3788817818806226</v>
      </c>
    </row>
    <row r="25" spans="1:6" ht="22" customHeight="1" x14ac:dyDescent="0.2">
      <c r="A25" s="24" t="s">
        <v>63</v>
      </c>
      <c r="B25" s="25">
        <f>B14/B6</f>
        <v>0.34714611068075391</v>
      </c>
      <c r="C25" s="25">
        <f>C14/C6</f>
        <v>0.35294845102564121</v>
      </c>
      <c r="D25" s="25">
        <f>D14/D6</f>
        <v>0.3582109369296077</v>
      </c>
      <c r="E25" s="25">
        <f>E14/E6</f>
        <v>0.35867802832053386</v>
      </c>
      <c r="F25" s="25">
        <f>F14/F6</f>
        <v>0.35888178188062264</v>
      </c>
    </row>
    <row r="26" spans="1:6" ht="22" customHeight="1" x14ac:dyDescent="0.2">
      <c r="A26" s="24" t="s">
        <v>64</v>
      </c>
      <c r="B26" s="25">
        <f>B20/B6</f>
        <v>0.27069039493720892</v>
      </c>
      <c r="C26" s="25">
        <f>C20/C6</f>
        <v>0.27468655467250519</v>
      </c>
      <c r="D26" s="25">
        <f>D20/D6</f>
        <v>0.27718055145465736</v>
      </c>
      <c r="E26" s="25">
        <f>E20/E6</f>
        <v>0.27628716951111237</v>
      </c>
      <c r="F26" s="25">
        <f>F20/F6</f>
        <v>0.27621931036075753</v>
      </c>
    </row>
    <row r="27" spans="1:6" ht="22" customHeight="1" x14ac:dyDescent="0.2">
      <c r="A27" s="53" t="s">
        <v>65</v>
      </c>
      <c r="B27" s="53"/>
      <c r="C27" s="53"/>
      <c r="D27" s="53"/>
      <c r="E27" s="53"/>
      <c r="F27" s="53"/>
    </row>
    <row r="28" spans="1:6" ht="22" customHeight="1" x14ac:dyDescent="0.2">
      <c r="A28" s="7" t="s">
        <v>66</v>
      </c>
      <c r="B28" s="26">
        <f>B22/(B30*100)</f>
        <v>125.43304410602502</v>
      </c>
      <c r="C28" s="26">
        <f>C22/(C30*100)</f>
        <v>136.82397321912606</v>
      </c>
      <c r="D28" s="26">
        <f>D22/(D30*100)</f>
        <v>164.27163617698039</v>
      </c>
      <c r="E28" s="26">
        <f>E22/(E30*100)</f>
        <v>194.27881536806836</v>
      </c>
      <c r="F28" s="26">
        <f>F22/(F30*100)</f>
        <v>207.36986229129647</v>
      </c>
    </row>
    <row r="29" spans="1:6" ht="22" customHeight="1" x14ac:dyDescent="0.2">
      <c r="A29" s="7" t="s">
        <v>67</v>
      </c>
      <c r="B29" s="46">
        <f>B22*0.45/(B30*100)</f>
        <v>56.44486984771126</v>
      </c>
      <c r="C29" s="46">
        <f t="shared" ref="C29:F29" si="0">C22*0.45/(C30*100)</f>
        <v>61.570787948606728</v>
      </c>
      <c r="D29" s="46">
        <f t="shared" si="0"/>
        <v>73.922236279641183</v>
      </c>
      <c r="E29" s="46">
        <f t="shared" si="0"/>
        <v>87.425466915630778</v>
      </c>
      <c r="F29" s="46">
        <f t="shared" si="0"/>
        <v>93.316438031083422</v>
      </c>
    </row>
    <row r="30" spans="1:6" ht="22" customHeight="1" x14ac:dyDescent="0.2">
      <c r="A30" s="7" t="s">
        <v>68</v>
      </c>
      <c r="B30" s="26">
        <f>3.62*(1-0.008)</f>
        <v>3.59104</v>
      </c>
      <c r="C30" s="26">
        <f>B30*(1-0.008)</f>
        <v>3.5623116800000001</v>
      </c>
      <c r="D30" s="26">
        <f t="shared" ref="D30:F30" si="1">C30*(1-0.008)</f>
        <v>3.5338131865600002</v>
      </c>
      <c r="E30" s="26">
        <f t="shared" si="1"/>
        <v>3.5055426810675203</v>
      </c>
      <c r="F30" s="26">
        <f t="shared" si="1"/>
        <v>3.4774983396189802</v>
      </c>
    </row>
  </sheetData>
  <mergeCells count="8">
    <mergeCell ref="A23:F23"/>
    <mergeCell ref="A27:F27"/>
    <mergeCell ref="A1:F1"/>
    <mergeCell ref="A2:F2"/>
    <mergeCell ref="A5:F5"/>
    <mergeCell ref="A7:F7"/>
    <mergeCell ref="A11:F11"/>
    <mergeCell ref="A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1C42-A431-3D41-8109-E5385BF7E2A7}">
  <dimension ref="A1:F44"/>
  <sheetViews>
    <sheetView showGridLines="0" topLeftCell="A6" zoomScale="92" workbookViewId="0">
      <selection activeCell="J31" sqref="J31"/>
    </sheetView>
  </sheetViews>
  <sheetFormatPr baseColWidth="10" defaultRowHeight="15" x14ac:dyDescent="0.2"/>
  <cols>
    <col min="1" max="6" width="35.83203125" customWidth="1"/>
  </cols>
  <sheetData>
    <row r="1" spans="1:6" ht="23" customHeight="1" x14ac:dyDescent="0.2">
      <c r="A1" s="51" t="s">
        <v>198</v>
      </c>
      <c r="B1" s="51"/>
      <c r="C1" s="51"/>
      <c r="D1" s="51"/>
      <c r="E1" s="51"/>
      <c r="F1" s="51"/>
    </row>
    <row r="2" spans="1:6" x14ac:dyDescent="0.2">
      <c r="A2" s="52"/>
      <c r="B2" s="52"/>
      <c r="C2" s="52"/>
      <c r="D2" s="52"/>
      <c r="E2" s="52"/>
      <c r="F2" s="52"/>
    </row>
    <row r="4" spans="1:6" x14ac:dyDescent="0.2">
      <c r="A4" s="2"/>
      <c r="B4" s="63" t="s">
        <v>162</v>
      </c>
      <c r="C4" s="63" t="s">
        <v>163</v>
      </c>
      <c r="D4" s="63" t="s">
        <v>164</v>
      </c>
      <c r="E4" s="63" t="s">
        <v>165</v>
      </c>
      <c r="F4" s="63" t="s">
        <v>166</v>
      </c>
    </row>
    <row r="5" spans="1:6" x14ac:dyDescent="0.2">
      <c r="A5" s="53" t="s">
        <v>72</v>
      </c>
      <c r="B5" s="53"/>
      <c r="C5" s="53"/>
      <c r="D5" s="53"/>
      <c r="E5" s="53"/>
      <c r="F5" s="53"/>
    </row>
    <row r="6" spans="1:6" x14ac:dyDescent="0.2">
      <c r="A6" s="54" t="s">
        <v>73</v>
      </c>
      <c r="B6" s="54"/>
      <c r="C6" s="54"/>
      <c r="D6" s="54"/>
      <c r="E6" s="54"/>
      <c r="F6" s="54"/>
    </row>
    <row r="7" spans="1:6" x14ac:dyDescent="0.2">
      <c r="A7" s="7" t="s">
        <v>74</v>
      </c>
      <c r="B7" s="14">
        <f>'Projected CF'!B30</f>
        <v>24122.118780650009</v>
      </c>
      <c r="C7" s="14">
        <f>'Projected CF'!C30</f>
        <v>27540.388050900008</v>
      </c>
      <c r="D7" s="14">
        <f>'Projected CF'!D30</f>
        <v>24744.373860900021</v>
      </c>
      <c r="E7" s="14">
        <f>'Projected CF'!E30</f>
        <v>30462.778590900045</v>
      </c>
      <c r="F7" s="14">
        <f>'Projected CF'!F30</f>
        <v>32488.255091400053</v>
      </c>
    </row>
    <row r="8" spans="1:6" x14ac:dyDescent="0.2">
      <c r="A8" s="7" t="s">
        <v>75</v>
      </c>
      <c r="B8" s="14">
        <f>'Balance Sheet'!G8*(1+'Assumptions Sheet'!C25)</f>
        <v>36641.020000000004</v>
      </c>
      <c r="C8" s="14">
        <f>B8*(1+'Assumptions Sheet'!D25)</f>
        <v>38839.481200000009</v>
      </c>
      <c r="D8" s="14">
        <f>C8*(1+'Assumptions Sheet'!E25)</f>
        <v>41169.850072000008</v>
      </c>
      <c r="E8" s="14">
        <f>D8*(1+'Assumptions Sheet'!F25)</f>
        <v>43640.041076320013</v>
      </c>
      <c r="F8" s="14">
        <f>E8*(1+'Assumptions Sheet'!G25)</f>
        <v>46258.443540899214</v>
      </c>
    </row>
    <row r="9" spans="1:6" x14ac:dyDescent="0.2">
      <c r="A9" s="7" t="s">
        <v>76</v>
      </c>
      <c r="B9" s="14">
        <f>'Assumptions Sheet'!C26*('Projected P&amp;L'!B6/365)</f>
        <v>40488.542027397263</v>
      </c>
      <c r="C9" s="14">
        <f>'Assumptions Sheet'!D26*('Projected P&amp;L'!C6/365)</f>
        <v>43144.816000000006</v>
      </c>
      <c r="D9" s="14">
        <f>'Assumptions Sheet'!E26*('Projected P&amp;L'!D6/365)</f>
        <v>50854.211506849322</v>
      </c>
      <c r="E9" s="14">
        <f>'Assumptions Sheet'!F26*('Projected P&amp;L'!E6/365)</f>
        <v>59113.234520547951</v>
      </c>
      <c r="F9" s="14">
        <f>'Assumptions Sheet'!G26*('Projected P&amp;L'!F6/365)</f>
        <v>62585.981342465748</v>
      </c>
    </row>
    <row r="10" spans="1:6" x14ac:dyDescent="0.2">
      <c r="A10" s="7" t="s">
        <v>77</v>
      </c>
      <c r="B10" s="14">
        <f>'Projected P&amp;L'!B6*'Assumptions Sheet'!C27</f>
        <v>6381.5463400000008</v>
      </c>
      <c r="C10" s="14">
        <f>'Projected P&amp;L'!C6*'Assumptions Sheet'!D27</f>
        <v>6800.2113400000007</v>
      </c>
      <c r="D10" s="14">
        <f>'Projected P&amp;L'!D6*'Assumptions Sheet'!E27</f>
        <v>7804.3878000000004</v>
      </c>
      <c r="E10" s="14">
        <f>'Projected P&amp;L'!E6*'Assumptions Sheet'!F27</f>
        <v>9176.1406000000006</v>
      </c>
      <c r="F10" s="14">
        <f>'Projected P&amp;L'!F6*'Assumptions Sheet'!G27</f>
        <v>9715.2146899999989</v>
      </c>
    </row>
    <row r="11" spans="1:6" x14ac:dyDescent="0.2">
      <c r="A11" s="17" t="s">
        <v>78</v>
      </c>
      <c r="B11" s="22">
        <f>SUM(B7:B10)</f>
        <v>107633.22714804727</v>
      </c>
      <c r="C11" s="22">
        <f>SUM(C7:C10)</f>
        <v>116324.89659090003</v>
      </c>
      <c r="D11" s="22">
        <f>SUM(D7:D10)</f>
        <v>124572.82323974936</v>
      </c>
      <c r="E11" s="22">
        <f>SUM(E7:E10)</f>
        <v>142392.19478776804</v>
      </c>
      <c r="F11" s="22">
        <f>SUM(F7:F10)</f>
        <v>151047.89466476499</v>
      </c>
    </row>
    <row r="12" spans="1:6" x14ac:dyDescent="0.2">
      <c r="A12" s="54" t="s">
        <v>79</v>
      </c>
      <c r="B12" s="54"/>
      <c r="C12" s="54"/>
      <c r="D12" s="54"/>
      <c r="E12" s="54"/>
      <c r="F12" s="54"/>
    </row>
    <row r="14" spans="1:6" x14ac:dyDescent="0.2">
      <c r="A14" s="7" t="s">
        <v>80</v>
      </c>
      <c r="B14" s="14">
        <f>'Balance Sheet'!G14+'Projected CF'!B15-'Projected CF'!B8</f>
        <v>17986.32285</v>
      </c>
      <c r="C14" s="14">
        <f>B14+'Projected CF'!C15-'Projected CF'!C8</f>
        <v>17270.511130000003</v>
      </c>
      <c r="D14" s="14">
        <f>C14+'Projected CF'!D15-'Projected CF'!D8</f>
        <v>16426.793530000003</v>
      </c>
      <c r="E14" s="14">
        <f>D14+'Projected CF'!E15-'Projected CF'!E8</f>
        <v>15434.778330000001</v>
      </c>
      <c r="F14" s="14">
        <f>E14+'Projected CF'!F15-'Projected CF'!F8</f>
        <v>14384.484850000001</v>
      </c>
    </row>
    <row r="15" spans="1:6" x14ac:dyDescent="0.2">
      <c r="A15" s="7" t="s">
        <v>81</v>
      </c>
      <c r="B15" s="14">
        <f>'Assumptions Sheet'!C28</f>
        <v>1830</v>
      </c>
      <c r="C15" s="14">
        <f>'Assumptions Sheet'!D28</f>
        <v>1830</v>
      </c>
      <c r="D15" s="14">
        <f>'Assumptions Sheet'!E28</f>
        <v>1830</v>
      </c>
      <c r="E15" s="14">
        <f>'Assumptions Sheet'!F28</f>
        <v>1830</v>
      </c>
      <c r="F15" s="14">
        <f>'Assumptions Sheet'!G28</f>
        <v>1830</v>
      </c>
    </row>
    <row r="16" spans="1:6" x14ac:dyDescent="0.2">
      <c r="A16" s="7" t="s">
        <v>82</v>
      </c>
      <c r="B16" s="14">
        <f>'Balance Sheet'!C16+'Assumptions Sheet'!C29</f>
        <v>970</v>
      </c>
      <c r="C16" s="14">
        <f>B16+250</f>
        <v>1220</v>
      </c>
      <c r="D16" s="14">
        <f t="shared" ref="D16:F16" si="0">C16+250</f>
        <v>1470</v>
      </c>
      <c r="E16" s="14">
        <f t="shared" si="0"/>
        <v>1720</v>
      </c>
      <c r="F16" s="14">
        <f t="shared" si="0"/>
        <v>1970</v>
      </c>
    </row>
    <row r="17" spans="1:6" x14ac:dyDescent="0.2">
      <c r="A17" s="7" t="s">
        <v>83</v>
      </c>
      <c r="B17" s="14">
        <f>'Income Statement'!C6*'Assumptions Sheet'!C30</f>
        <v>40021.995000000003</v>
      </c>
      <c r="C17" s="14">
        <f>'Income Statement'!D6*'Assumptions Sheet'!D30</f>
        <v>41865.135000000002</v>
      </c>
      <c r="D17" s="14">
        <f>'Income Statement'!E6*'Assumptions Sheet'!E30</f>
        <v>48897.270000000004</v>
      </c>
      <c r="E17" s="14">
        <f>'Income Statement'!F6*'Assumptions Sheet'!F30</f>
        <v>57491.79</v>
      </c>
      <c r="F17" s="14">
        <f>'Income Statement'!G6*'Assumptions Sheet'!G30</f>
        <v>61427.715000000004</v>
      </c>
    </row>
    <row r="18" spans="1:6" x14ac:dyDescent="0.2">
      <c r="A18" s="17" t="s">
        <v>84</v>
      </c>
      <c r="B18" s="22">
        <f>SUM(B14:B17)</f>
        <v>60808.317850000007</v>
      </c>
      <c r="C18" s="22">
        <f>SUM(C14:C17)</f>
        <v>62185.646130000008</v>
      </c>
      <c r="D18" s="22">
        <f>SUM(D14:D17)</f>
        <v>68624.063530000014</v>
      </c>
      <c r="E18" s="22">
        <f>SUM(E14:E17)</f>
        <v>76476.568330000009</v>
      </c>
      <c r="F18" s="22">
        <f>SUM(F14:F17)</f>
        <v>79612.199850000005</v>
      </c>
    </row>
    <row r="20" spans="1:6" ht="16" thickBot="1" x14ac:dyDescent="0.25">
      <c r="A20" s="1" t="s">
        <v>85</v>
      </c>
      <c r="B20" s="27">
        <f>B11+B18</f>
        <v>168441.54499804729</v>
      </c>
      <c r="C20" s="27">
        <f>C11+C18</f>
        <v>178510.54272090003</v>
      </c>
      <c r="D20" s="27">
        <f>D11+D18</f>
        <v>193196.88676974937</v>
      </c>
      <c r="E20" s="27">
        <f>E11+E18</f>
        <v>218868.76311776805</v>
      </c>
      <c r="F20" s="27">
        <f>F11+F18</f>
        <v>230660.09451476499</v>
      </c>
    </row>
    <row r="21" spans="1:6" x14ac:dyDescent="0.2">
      <c r="A21" s="53" t="s">
        <v>86</v>
      </c>
      <c r="B21" s="53"/>
      <c r="C21" s="53"/>
      <c r="D21" s="53"/>
      <c r="E21" s="53"/>
      <c r="F21" s="53"/>
    </row>
    <row r="22" spans="1:6" x14ac:dyDescent="0.2">
      <c r="A22" s="54" t="s">
        <v>87</v>
      </c>
      <c r="B22" s="54"/>
      <c r="C22" s="54"/>
      <c r="D22" s="54"/>
      <c r="E22" s="54"/>
      <c r="F22" s="54"/>
    </row>
    <row r="23" spans="1:6" x14ac:dyDescent="0.2">
      <c r="A23" s="7" t="s">
        <v>88</v>
      </c>
      <c r="B23" s="14">
        <f>'Assumptions Sheet'!C31*('Income Statement'!C10/365)</f>
        <v>16360.767123287671</v>
      </c>
      <c r="C23" s="14">
        <f>'Assumptions Sheet'!D31*('Income Statement'!D10/365)</f>
        <v>16758.389041095892</v>
      </c>
      <c r="D23" s="14">
        <f>'Assumptions Sheet'!E31*('Income Statement'!E10/365)</f>
        <v>19759.572602739725</v>
      </c>
      <c r="E23" s="14">
        <f>'Assumptions Sheet'!F31*('Income Statement'!F10/365)</f>
        <v>22766.986301369863</v>
      </c>
      <c r="F23" s="14">
        <f>'Assumptions Sheet'!G31*('Income Statement'!G10/365)</f>
        <v>24191.369863013701</v>
      </c>
    </row>
    <row r="24" spans="1:6" x14ac:dyDescent="0.2">
      <c r="A24" s="7" t="s">
        <v>89</v>
      </c>
      <c r="B24" s="14">
        <f>'Assumptions Sheet'!C32</f>
        <v>1540</v>
      </c>
      <c r="C24" s="14">
        <f>'Assumptions Sheet'!D32</f>
        <v>1570</v>
      </c>
      <c r="D24" s="14">
        <f>'Assumptions Sheet'!E32</f>
        <v>1600</v>
      </c>
      <c r="E24" s="14">
        <f>'Assumptions Sheet'!F32</f>
        <v>1640</v>
      </c>
      <c r="F24" s="14">
        <f>'Assumptions Sheet'!G32</f>
        <v>1675</v>
      </c>
    </row>
    <row r="25" spans="1:6" x14ac:dyDescent="0.2">
      <c r="A25" s="7" t="s">
        <v>90</v>
      </c>
      <c r="B25" s="14">
        <f>'Income Statement'!C19*'Assumptions Sheet'!C33</f>
        <v>7056.7199999999993</v>
      </c>
      <c r="C25" s="14">
        <f>'Income Statement'!D19*'Assumptions Sheet'!D33</f>
        <v>8062.5599999999995</v>
      </c>
      <c r="D25" s="14">
        <f>'Income Statement'!E19*'Assumptions Sheet'!E33</f>
        <v>9531.3599999999988</v>
      </c>
      <c r="E25" s="14">
        <f>'Income Statement'!F19*'Assumptions Sheet'!F33</f>
        <v>10514.88</v>
      </c>
      <c r="F25" s="14">
        <f>'Income Statement'!G19*'Assumptions Sheet'!G33</f>
        <v>11446.56</v>
      </c>
    </row>
    <row r="26" spans="1:6" x14ac:dyDescent="0.2">
      <c r="A26" s="7" t="s">
        <v>91</v>
      </c>
      <c r="B26" s="14">
        <f>'Projected P&amp;L'!B6*'Assumptions Sheet'!C34</f>
        <v>3526.6440300000008</v>
      </c>
      <c r="C26" s="14">
        <f>'Projected P&amp;L'!C6*'Assumptions Sheet'!D34</f>
        <v>3758.0115300000007</v>
      </c>
      <c r="D26" s="14">
        <f>'Projected P&amp;L'!D6*'Assumptions Sheet'!E34</f>
        <v>4429.5174000000006</v>
      </c>
      <c r="E26" s="14">
        <f>'Projected P&amp;L'!E6*'Assumptions Sheet'!F34</f>
        <v>5208.0798000000004</v>
      </c>
      <c r="F26" s="14">
        <f>'Projected P&amp;L'!F6*'Assumptions Sheet'!G34</f>
        <v>5514.0407700000005</v>
      </c>
    </row>
    <row r="27" spans="1:6" x14ac:dyDescent="0.2">
      <c r="A27" s="7" t="s">
        <v>92</v>
      </c>
      <c r="B27" s="14">
        <f>'Projected P&amp;L'!B6*'Assumptions Sheet'!C35</f>
        <v>2183.1605900000004</v>
      </c>
      <c r="C27" s="14">
        <f>'Projected P&amp;L'!C6*'Assumptions Sheet'!D35</f>
        <v>2326.3880900000004</v>
      </c>
      <c r="D27" s="14">
        <f>'Projected P&amp;L'!D6*'Assumptions Sheet'!E35</f>
        <v>2742.0822000000003</v>
      </c>
      <c r="E27" s="14">
        <f>'Projected P&amp;L'!E6*'Assumptions Sheet'!F35</f>
        <v>3224.0493999999999</v>
      </c>
      <c r="F27" s="14">
        <f>'Projected P&amp;L'!F6*'Assumptions Sheet'!G35</f>
        <v>3413.45381</v>
      </c>
    </row>
    <row r="28" spans="1:6" x14ac:dyDescent="0.2">
      <c r="A28" s="15" t="s">
        <v>93</v>
      </c>
      <c r="B28" s="16">
        <f>SUM(B23:B27)</f>
        <v>30667.291743287667</v>
      </c>
      <c r="C28" s="16">
        <f>SUM(C23:C27)</f>
        <v>32475.34866109589</v>
      </c>
      <c r="D28" s="16">
        <f>SUM(D23:D27)</f>
        <v>38062.532202739727</v>
      </c>
      <c r="E28" s="16">
        <f>SUM(E23:E27)</f>
        <v>43353.995501369864</v>
      </c>
      <c r="F28" s="16">
        <f>SUM(F23:F27)</f>
        <v>46240.424443013697</v>
      </c>
    </row>
    <row r="29" spans="1:6" x14ac:dyDescent="0.2">
      <c r="A29" s="54" t="s">
        <v>94</v>
      </c>
      <c r="B29" s="54"/>
      <c r="C29" s="54"/>
      <c r="D29" s="54"/>
      <c r="E29" s="54"/>
      <c r="F29" s="54"/>
    </row>
    <row r="31" spans="1:6" x14ac:dyDescent="0.2">
      <c r="A31" s="7" t="s">
        <v>95</v>
      </c>
      <c r="B31" s="14">
        <f>'Assumptions Sheet'!C36</f>
        <v>6600</v>
      </c>
      <c r="C31" s="14">
        <f>'Assumptions Sheet'!D36</f>
        <v>6700</v>
      </c>
      <c r="D31" s="14">
        <f>'Assumptions Sheet'!E36</f>
        <v>6800</v>
      </c>
      <c r="E31" s="14">
        <f>'Assumptions Sheet'!F36</f>
        <v>6900</v>
      </c>
      <c r="F31" s="14">
        <f>'Assumptions Sheet'!G36</f>
        <v>7000</v>
      </c>
    </row>
    <row r="32" spans="1:6" x14ac:dyDescent="0.2">
      <c r="A32" s="7" t="s">
        <v>96</v>
      </c>
      <c r="B32" s="14">
        <f>'Balance Sheet'!G32*(1+'Assumptions Sheet'!C37)</f>
        <v>2096.91</v>
      </c>
      <c r="C32" s="14">
        <f>B32*(1+'Assumptions Sheet'!D37)</f>
        <v>2170.3018499999998</v>
      </c>
      <c r="D32" s="14">
        <f>C32*(1+'Assumptions Sheet'!E37)</f>
        <v>2246.2624147499996</v>
      </c>
      <c r="E32" s="14">
        <f>D32*(1+'Assumptions Sheet'!F37)</f>
        <v>2324.8815992662494</v>
      </c>
      <c r="F32" s="14">
        <f>E32*(1+'Assumptions Sheet'!G37)</f>
        <v>2406.252455240568</v>
      </c>
    </row>
    <row r="33" spans="1:6" x14ac:dyDescent="0.2">
      <c r="A33" s="15" t="s">
        <v>97</v>
      </c>
      <c r="B33" s="16">
        <f>SUM(B31:B32)</f>
        <v>8696.91</v>
      </c>
      <c r="C33" s="16">
        <f>SUM(C31:C32)</f>
        <v>8870.3018499999998</v>
      </c>
      <c r="D33" s="16">
        <f>SUM(D31:D32)</f>
        <v>9046.2624147499992</v>
      </c>
      <c r="E33" s="16">
        <f>SUM(E31:E32)</f>
        <v>9224.8815992662494</v>
      </c>
      <c r="F33" s="16">
        <f>SUM(F31:F32)</f>
        <v>9406.2524552405685</v>
      </c>
    </row>
    <row r="34" spans="1:6" x14ac:dyDescent="0.2">
      <c r="A34" s="54" t="s">
        <v>98</v>
      </c>
      <c r="B34" s="54"/>
      <c r="C34" s="54"/>
      <c r="D34" s="54"/>
      <c r="E34" s="54"/>
      <c r="F34" s="54"/>
    </row>
    <row r="36" spans="1:6" x14ac:dyDescent="0.2">
      <c r="A36" s="7" t="s">
        <v>99</v>
      </c>
      <c r="B36" s="14">
        <f>'Assumptions Sheet'!C38</f>
        <v>358</v>
      </c>
      <c r="C36" s="14">
        <f>'Assumptions Sheet'!D38</f>
        <v>355</v>
      </c>
      <c r="D36" s="14">
        <f>'Assumptions Sheet'!E38</f>
        <v>352</v>
      </c>
      <c r="E36" s="14">
        <f>'Assumptions Sheet'!F38</f>
        <v>349</v>
      </c>
      <c r="F36" s="14">
        <f>'Assumptions Sheet'!G38</f>
        <v>346</v>
      </c>
    </row>
    <row r="37" spans="1:6" x14ac:dyDescent="0.2">
      <c r="A37" s="7" t="s">
        <v>100</v>
      </c>
      <c r="B37" s="14">
        <f>B20-(B23+B24+B25+B26+B27+B31+B32+B36+B38+B40)</f>
        <v>124067.84325475962</v>
      </c>
      <c r="C37" s="14">
        <f t="shared" ref="C37:F37" si="1">C20-(C23+C24+C25+C26+C27+C31+C32+C36+C38+C40)</f>
        <v>132034.81720980414</v>
      </c>
      <c r="D37" s="14">
        <f t="shared" si="1"/>
        <v>140835.26340225965</v>
      </c>
      <c r="E37" s="14">
        <f t="shared" si="1"/>
        <v>160912.01582963194</v>
      </c>
      <c r="F37" s="14">
        <f t="shared" si="1"/>
        <v>169508.10391963573</v>
      </c>
    </row>
    <row r="38" spans="1:6" x14ac:dyDescent="0.2">
      <c r="A38" s="7" t="s">
        <v>101</v>
      </c>
      <c r="B38" s="14">
        <f>'Assumptions Sheet'!C39</f>
        <v>3780</v>
      </c>
      <c r="C38" s="14">
        <f>'Assumptions Sheet'!D39</f>
        <v>3860</v>
      </c>
      <c r="D38" s="14">
        <f>'Assumptions Sheet'!E39</f>
        <v>3940</v>
      </c>
      <c r="E38" s="14">
        <f>'Assumptions Sheet'!F39</f>
        <v>4020</v>
      </c>
      <c r="F38" s="14">
        <f>'Assumptions Sheet'!G39</f>
        <v>4100</v>
      </c>
    </row>
    <row r="39" spans="1:6" x14ac:dyDescent="0.2">
      <c r="A39" s="17" t="s">
        <v>102</v>
      </c>
      <c r="B39" s="22">
        <f>SUM(B36:B38)</f>
        <v>128205.84325475962</v>
      </c>
      <c r="C39" s="22">
        <f>SUM(C36:C38)</f>
        <v>136249.81720980414</v>
      </c>
      <c r="D39" s="22">
        <f>SUM(D36:D38)</f>
        <v>145127.26340225965</v>
      </c>
      <c r="E39" s="22">
        <f>SUM(E36:E38)</f>
        <v>165281.01582963194</v>
      </c>
      <c r="F39" s="22">
        <f>SUM(F36:F38)</f>
        <v>173954.10391963573</v>
      </c>
    </row>
    <row r="40" spans="1:6" x14ac:dyDescent="0.2">
      <c r="A40" s="7" t="s">
        <v>103</v>
      </c>
      <c r="B40" s="14">
        <f>'Balance Sheet'!G40*(1+5%)</f>
        <v>871.5</v>
      </c>
      <c r="C40" s="14">
        <f>B40*(1+5%)</f>
        <v>915.07500000000005</v>
      </c>
      <c r="D40" s="14">
        <f t="shared" ref="D40:F40" si="2">C40*(1+5%)</f>
        <v>960.82875000000013</v>
      </c>
      <c r="E40" s="14">
        <f t="shared" si="2"/>
        <v>1008.8701875000002</v>
      </c>
      <c r="F40" s="14">
        <f t="shared" si="2"/>
        <v>1059.3136968750002</v>
      </c>
    </row>
    <row r="42" spans="1:6" ht="16" thickBot="1" x14ac:dyDescent="0.25">
      <c r="A42" s="1" t="s">
        <v>104</v>
      </c>
      <c r="B42" s="27">
        <f>B28+B33+B39+B40</f>
        <v>168441.54499804729</v>
      </c>
      <c r="C42" s="27">
        <f>C28+C33+C39+C40</f>
        <v>178510.54272090003</v>
      </c>
      <c r="D42" s="27">
        <f>D28+D33+D39+D40</f>
        <v>193196.88676974934</v>
      </c>
      <c r="E42" s="27">
        <f>E28+E33+E39+E40</f>
        <v>218868.76311776805</v>
      </c>
      <c r="F42" s="27">
        <f>F28+F33+F39+F40</f>
        <v>230660.09451476499</v>
      </c>
    </row>
    <row r="44" spans="1:6" x14ac:dyDescent="0.2">
      <c r="A44" s="28" t="s">
        <v>105</v>
      </c>
      <c r="B44" s="29">
        <f>B20-B42</f>
        <v>0</v>
      </c>
      <c r="C44" s="29">
        <f>C20-C42</f>
        <v>0</v>
      </c>
      <c r="D44" s="29">
        <f>D20-D42</f>
        <v>0</v>
      </c>
      <c r="E44" s="29">
        <f>E20-E42</f>
        <v>0</v>
      </c>
      <c r="F44" s="29">
        <f>F20-F42</f>
        <v>0</v>
      </c>
    </row>
  </sheetData>
  <mergeCells count="9">
    <mergeCell ref="A22:F22"/>
    <mergeCell ref="A29:F29"/>
    <mergeCell ref="A34:F34"/>
    <mergeCell ref="A1:F1"/>
    <mergeCell ref="A2:F2"/>
    <mergeCell ref="A5:F5"/>
    <mergeCell ref="A6:F6"/>
    <mergeCell ref="A12:F12"/>
    <mergeCell ref="A21:F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9101-5A94-2D48-B680-21B722B5244B}">
  <dimension ref="A1:F34"/>
  <sheetViews>
    <sheetView showGridLines="0" workbookViewId="0">
      <selection activeCell="F40" sqref="F40"/>
    </sheetView>
  </sheetViews>
  <sheetFormatPr baseColWidth="10" defaultRowHeight="15" x14ac:dyDescent="0.2"/>
  <cols>
    <col min="1" max="6" width="35.83203125" customWidth="1"/>
  </cols>
  <sheetData>
    <row r="1" spans="1:6" ht="16" x14ac:dyDescent="0.2">
      <c r="A1" s="51" t="s">
        <v>215</v>
      </c>
      <c r="B1" s="51"/>
      <c r="C1" s="51"/>
      <c r="D1" s="51"/>
      <c r="E1" s="51"/>
      <c r="F1" s="51"/>
    </row>
    <row r="2" spans="1:6" x14ac:dyDescent="0.2">
      <c r="A2" s="52"/>
      <c r="B2" s="52"/>
      <c r="C2" s="52"/>
      <c r="D2" s="52"/>
      <c r="E2" s="52"/>
      <c r="F2" s="52"/>
    </row>
    <row r="4" spans="1:6" x14ac:dyDescent="0.2">
      <c r="A4" s="2"/>
      <c r="B4" s="63" t="s">
        <v>162</v>
      </c>
      <c r="C4" s="63" t="s">
        <v>163</v>
      </c>
      <c r="D4" s="63" t="s">
        <v>164</v>
      </c>
      <c r="E4" s="63" t="s">
        <v>165</v>
      </c>
      <c r="F4" s="63" t="s">
        <v>166</v>
      </c>
    </row>
    <row r="5" spans="1:6" x14ac:dyDescent="0.2">
      <c r="A5" s="54" t="s">
        <v>108</v>
      </c>
      <c r="B5" s="54"/>
      <c r="C5" s="54"/>
      <c r="D5" s="54"/>
      <c r="E5" s="54"/>
      <c r="F5" s="54"/>
    </row>
    <row r="7" spans="1:6" x14ac:dyDescent="0.2">
      <c r="A7" s="7" t="s">
        <v>109</v>
      </c>
      <c r="B7" s="14">
        <f>'Projected P&amp;L'!B20</f>
        <v>45458.507870650006</v>
      </c>
      <c r="C7" s="14">
        <f>'Projected P&amp;L'!C20</f>
        <v>49155.963790250004</v>
      </c>
      <c r="D7" s="14">
        <f>'Projected P&amp;L'!D20</f>
        <v>58465.52741000001</v>
      </c>
      <c r="E7" s="14">
        <f>'Projected P&amp;L'!E20</f>
        <v>68520.267930000016</v>
      </c>
      <c r="F7" s="14">
        <f>'Projected P&amp;L'!F20</f>
        <v>72527.835180500013</v>
      </c>
    </row>
    <row r="8" spans="1:6" x14ac:dyDescent="0.2">
      <c r="A8" s="7" t="s">
        <v>110</v>
      </c>
      <c r="B8" s="14">
        <f>'Projected P&amp;L'!B13</f>
        <v>3526.6440300000008</v>
      </c>
      <c r="C8" s="14">
        <f>'Projected P&amp;L'!C13</f>
        <v>3579.0586000000003</v>
      </c>
      <c r="D8" s="14">
        <f>'Projected P&amp;L'!D13</f>
        <v>4218.5880000000006</v>
      </c>
      <c r="E8" s="14">
        <f>'Projected P&amp;L'!E13</f>
        <v>4960.076</v>
      </c>
      <c r="F8" s="14">
        <f>'Projected P&amp;L'!F13</f>
        <v>5251.4674000000005</v>
      </c>
    </row>
    <row r="9" spans="1:6" x14ac:dyDescent="0.2">
      <c r="A9" s="7" t="s">
        <v>111</v>
      </c>
      <c r="B9" s="14">
        <f>'Assumptions Sheet'!C22</f>
        <v>-1800</v>
      </c>
      <c r="C9" s="14">
        <f>'Assumptions Sheet'!D22</f>
        <v>-2000</v>
      </c>
      <c r="D9" s="14">
        <f>'Assumptions Sheet'!E22</f>
        <v>-2200</v>
      </c>
      <c r="E9" s="14">
        <f>'Assumptions Sheet'!F22</f>
        <v>-2500</v>
      </c>
      <c r="F9" s="14">
        <f>'Assumptions Sheet'!G22</f>
        <v>-2500</v>
      </c>
    </row>
    <row r="10" spans="1:6" x14ac:dyDescent="0.2">
      <c r="A10" s="7" t="s">
        <v>112</v>
      </c>
      <c r="B10" s="14">
        <f>'Cash Flow Statement'!G10-225</f>
        <v>-1625</v>
      </c>
      <c r="C10" s="14">
        <f>B10-225</f>
        <v>-1850</v>
      </c>
      <c r="D10" s="14">
        <f t="shared" ref="D10:F10" si="0">C10-225</f>
        <v>-2075</v>
      </c>
      <c r="E10" s="14">
        <f t="shared" si="0"/>
        <v>-2300</v>
      </c>
      <c r="F10" s="14">
        <f t="shared" si="0"/>
        <v>-2525</v>
      </c>
    </row>
    <row r="11" spans="1:6" ht="16" thickBot="1" x14ac:dyDescent="0.25">
      <c r="A11" s="7" t="s">
        <v>113</v>
      </c>
      <c r="B11" s="14">
        <f>700</f>
        <v>700</v>
      </c>
      <c r="C11" s="14">
        <f>700</f>
        <v>700</v>
      </c>
      <c r="D11" s="14">
        <f>700</f>
        <v>700</v>
      </c>
      <c r="E11" s="14">
        <f>700</f>
        <v>700</v>
      </c>
      <c r="F11" s="14">
        <f>700</f>
        <v>700</v>
      </c>
    </row>
    <row r="12" spans="1:6" ht="16" thickBot="1" x14ac:dyDescent="0.25">
      <c r="A12" s="17" t="s">
        <v>114</v>
      </c>
      <c r="B12" s="30">
        <f>SUM(B7:B11)</f>
        <v>46260.151900650009</v>
      </c>
      <c r="C12" s="30">
        <f>SUM(C7:C11)</f>
        <v>49585.02239025</v>
      </c>
      <c r="D12" s="30">
        <f>SUM(D7:D11)</f>
        <v>59109.115410000013</v>
      </c>
      <c r="E12" s="30">
        <f>SUM(E7:E11)</f>
        <v>69380.343930000017</v>
      </c>
      <c r="F12" s="30">
        <f>SUM(F7:F11)</f>
        <v>73454.302580500007</v>
      </c>
    </row>
    <row r="13" spans="1:6" x14ac:dyDescent="0.2">
      <c r="A13" s="54" t="s">
        <v>115</v>
      </c>
      <c r="B13" s="54"/>
      <c r="C13" s="54"/>
      <c r="D13" s="54"/>
      <c r="E13" s="54"/>
      <c r="F13" s="54"/>
    </row>
    <row r="15" spans="1:6" x14ac:dyDescent="0.2">
      <c r="A15" s="7" t="s">
        <v>116</v>
      </c>
      <c r="B15" s="14">
        <f>'Projected P&amp;L'!B6*'Assumptions Sheet'!C15</f>
        <v>2686.9668800000004</v>
      </c>
      <c r="C15" s="14">
        <f>'Projected P&amp;L'!C6*'Assumptions Sheet'!D15</f>
        <v>2863.2468800000006</v>
      </c>
      <c r="D15" s="14">
        <f>'Projected P&amp;L'!D6*'Assumptions Sheet'!E15</f>
        <v>3374.8704000000002</v>
      </c>
      <c r="E15" s="14">
        <f>'Projected P&amp;L'!E6*'Assumptions Sheet'!F15</f>
        <v>3968.0608000000002</v>
      </c>
      <c r="F15" s="14">
        <f>'Projected P&amp;L'!F6*'Assumptions Sheet'!G15</f>
        <v>4201.1739200000002</v>
      </c>
    </row>
    <row r="16" spans="1:6" x14ac:dyDescent="0.2">
      <c r="A16" s="7" t="s">
        <v>117</v>
      </c>
      <c r="B16" s="14">
        <f>'Assumptions Sheet'!C16</f>
        <v>-400</v>
      </c>
      <c r="C16" s="14">
        <f>'Assumptions Sheet'!D16</f>
        <v>-400</v>
      </c>
      <c r="D16" s="14">
        <f>'Assumptions Sheet'!E16</f>
        <v>-500</v>
      </c>
      <c r="E16" s="14">
        <f>'Assumptions Sheet'!F16</f>
        <v>-500</v>
      </c>
      <c r="F16" s="14">
        <f>'Assumptions Sheet'!G16</f>
        <v>-500</v>
      </c>
    </row>
    <row r="17" spans="1:6" ht="16" thickBot="1" x14ac:dyDescent="0.25">
      <c r="A17" s="7" t="s">
        <v>118</v>
      </c>
      <c r="B17" s="14">
        <f>'Assumptions Sheet'!C17</f>
        <v>-800</v>
      </c>
      <c r="C17" s="14">
        <f>'Assumptions Sheet'!D17</f>
        <v>-800</v>
      </c>
      <c r="D17" s="14">
        <f>'Assumptions Sheet'!E17</f>
        <v>-800</v>
      </c>
      <c r="E17" s="14">
        <f>'Assumptions Sheet'!F17</f>
        <v>-800</v>
      </c>
      <c r="F17" s="14">
        <f>'Assumptions Sheet'!G17</f>
        <v>-800</v>
      </c>
    </row>
    <row r="18" spans="1:6" ht="16" thickBot="1" x14ac:dyDescent="0.25">
      <c r="A18" s="20" t="s">
        <v>119</v>
      </c>
      <c r="B18" s="31">
        <f>SUM(B15:B17)</f>
        <v>1486.9668800000004</v>
      </c>
      <c r="C18" s="31">
        <f>SUM(C15:C17)</f>
        <v>1663.2468800000006</v>
      </c>
      <c r="D18" s="31">
        <f>SUM(D15:D17)</f>
        <v>2074.8704000000002</v>
      </c>
      <c r="E18" s="31">
        <f>SUM(E15:E17)</f>
        <v>2668.0608000000002</v>
      </c>
      <c r="F18" s="31">
        <f>SUM(F15:F17)</f>
        <v>2901.1739200000002</v>
      </c>
    </row>
    <row r="19" spans="1:6" x14ac:dyDescent="0.2">
      <c r="A19" s="54" t="s">
        <v>120</v>
      </c>
      <c r="B19" s="54"/>
      <c r="C19" s="54"/>
      <c r="D19" s="54"/>
      <c r="E19" s="54"/>
      <c r="F19" s="54"/>
    </row>
    <row r="21" spans="1:6" x14ac:dyDescent="0.2">
      <c r="A21" s="7" t="s">
        <v>121</v>
      </c>
      <c r="B21" s="14">
        <f>'Assumptions Sheet'!C18</f>
        <v>-20500</v>
      </c>
      <c r="C21" s="14">
        <f>'Assumptions Sheet'!D18</f>
        <v>-22150</v>
      </c>
      <c r="D21" s="14">
        <f>'Assumptions Sheet'!E18</f>
        <v>-26300</v>
      </c>
      <c r="E21" s="14">
        <f>'Assumptions Sheet'!F18</f>
        <v>-30650</v>
      </c>
      <c r="F21" s="14">
        <f>'Assumptions Sheet'!G18</f>
        <v>-32650</v>
      </c>
    </row>
    <row r="22" spans="1:6" x14ac:dyDescent="0.2">
      <c r="A22" s="7" t="s">
        <v>122</v>
      </c>
      <c r="B22" s="14">
        <f>'Assumptions Sheet'!C19</f>
        <v>-17000</v>
      </c>
      <c r="C22" s="14" t="str">
        <f>'Assumptions Sheet'!D19</f>
        <v>_</v>
      </c>
      <c r="D22" s="14">
        <f>'Assumptions Sheet'!E19</f>
        <v>-18000</v>
      </c>
      <c r="E22" s="14" t="str">
        <f>'Assumptions Sheet'!F19</f>
        <v>_</v>
      </c>
      <c r="F22" s="14">
        <f>'Assumptions Sheet'!G19</f>
        <v>-19000</v>
      </c>
    </row>
    <row r="23" spans="1:6" ht="16" thickBot="1" x14ac:dyDescent="0.25">
      <c r="A23" s="7" t="s">
        <v>123</v>
      </c>
      <c r="B23" s="14">
        <f>'Assumptions Sheet'!C20</f>
        <v>-780</v>
      </c>
      <c r="C23" s="14">
        <f>'Assumptions Sheet'!D20</f>
        <v>-780</v>
      </c>
      <c r="D23" s="14">
        <f>'Assumptions Sheet'!E20</f>
        <v>-780</v>
      </c>
      <c r="E23" s="14">
        <f>'Assumptions Sheet'!F20</f>
        <v>-780</v>
      </c>
      <c r="F23" s="14">
        <f>'Assumptions Sheet'!G20</f>
        <v>-780</v>
      </c>
    </row>
    <row r="24" spans="1:6" ht="16" thickBot="1" x14ac:dyDescent="0.25">
      <c r="A24" s="4" t="s">
        <v>124</v>
      </c>
      <c r="B24" s="32">
        <f>SUM(B21:B23)</f>
        <v>-38280</v>
      </c>
      <c r="C24" s="32">
        <f>SUM(C21:C23)</f>
        <v>-22930</v>
      </c>
      <c r="D24" s="32">
        <f>SUM(D21:D23)</f>
        <v>-45080</v>
      </c>
      <c r="E24" s="32">
        <f>SUM(E21:E23)</f>
        <v>-31430</v>
      </c>
      <c r="F24" s="32">
        <f>SUM(F21:F23)</f>
        <v>-52430</v>
      </c>
    </row>
    <row r="25" spans="1:6" x14ac:dyDescent="0.2">
      <c r="A25" s="53" t="s">
        <v>125</v>
      </c>
      <c r="B25" s="53"/>
      <c r="C25" s="53"/>
      <c r="D25" s="53"/>
      <c r="E25" s="53"/>
      <c r="F25" s="53"/>
    </row>
    <row r="26" spans="1:6" x14ac:dyDescent="0.2">
      <c r="A26" s="7" t="s">
        <v>126</v>
      </c>
      <c r="B26" s="14">
        <f>'Assumptions Sheet'!C21</f>
        <v>100</v>
      </c>
      <c r="C26" s="14">
        <f>'Assumptions Sheet'!D21</f>
        <v>100</v>
      </c>
      <c r="D26" s="14">
        <f>'Assumptions Sheet'!E21</f>
        <v>100</v>
      </c>
      <c r="E26" s="14">
        <f>'Assumptions Sheet'!F21</f>
        <v>100</v>
      </c>
      <c r="F26" s="14">
        <f>'Assumptions Sheet'!G21</f>
        <v>100</v>
      </c>
    </row>
    <row r="27" spans="1:6" ht="16" thickBot="1" x14ac:dyDescent="0.25">
      <c r="A27" s="17" t="s">
        <v>127</v>
      </c>
      <c r="B27" s="33">
        <f>B12+B18+B24+B26</f>
        <v>9567.1187806500093</v>
      </c>
      <c r="C27" s="33">
        <f>C12+C18+C24+C26</f>
        <v>28418.269270249999</v>
      </c>
      <c r="D27" s="33">
        <f>D12+D18+D24+D26</f>
        <v>16203.985810000013</v>
      </c>
      <c r="E27" s="33">
        <f>E12+E18+E24+E26</f>
        <v>40718.404730000024</v>
      </c>
      <c r="F27" s="33">
        <f>F12+F18+F24+F26</f>
        <v>24025.476500500008</v>
      </c>
    </row>
    <row r="29" spans="1:6" x14ac:dyDescent="0.2">
      <c r="A29" s="12" t="s">
        <v>128</v>
      </c>
      <c r="B29" s="34">
        <f>'Cash Flow Statement'!G30</f>
        <v>14555</v>
      </c>
      <c r="C29" s="34">
        <f>B30</f>
        <v>24122.118780650009</v>
      </c>
      <c r="D29" s="34">
        <f t="shared" ref="D29:F29" si="1">C30</f>
        <v>27540.388050900008</v>
      </c>
      <c r="E29" s="34">
        <f t="shared" si="1"/>
        <v>24744.373860900021</v>
      </c>
      <c r="F29" s="34">
        <f t="shared" si="1"/>
        <v>30462.778590900045</v>
      </c>
    </row>
    <row r="30" spans="1:6" ht="16" thickBot="1" x14ac:dyDescent="0.25">
      <c r="A30" s="17" t="s">
        <v>129</v>
      </c>
      <c r="B30" s="35">
        <f>B29+B27</f>
        <v>24122.118780650009</v>
      </c>
      <c r="C30" s="35">
        <f>C29+C27-25000</f>
        <v>27540.388050900008</v>
      </c>
      <c r="D30" s="35">
        <f>D29+D27-19000</f>
        <v>24744.373860900021</v>
      </c>
      <c r="E30" s="35">
        <f>E29+E27-35000</f>
        <v>30462.778590900045</v>
      </c>
      <c r="F30" s="35">
        <f>F29+F27-22000</f>
        <v>32488.255091400053</v>
      </c>
    </row>
    <row r="31" spans="1:6" x14ac:dyDescent="0.2">
      <c r="A31" s="53" t="s">
        <v>130</v>
      </c>
      <c r="B31" s="53"/>
      <c r="C31" s="53"/>
      <c r="D31" s="53"/>
      <c r="E31" s="53"/>
      <c r="F31" s="53"/>
    </row>
    <row r="32" spans="1:6" x14ac:dyDescent="0.2">
      <c r="A32" s="17" t="s">
        <v>131</v>
      </c>
      <c r="B32" s="36">
        <f>B12+B15</f>
        <v>48947.118780650009</v>
      </c>
      <c r="C32" s="36">
        <f>C12+C15</f>
        <v>52448.269270249999</v>
      </c>
      <c r="D32" s="36">
        <f>D12+D15</f>
        <v>62483.985810000013</v>
      </c>
      <c r="E32" s="36">
        <f>E12+E15</f>
        <v>73348.404730000024</v>
      </c>
      <c r="F32" s="36">
        <f>F12+F15</f>
        <v>77655.476500500008</v>
      </c>
    </row>
    <row r="33" spans="1:6" x14ac:dyDescent="0.2">
      <c r="A33" s="24" t="s">
        <v>132</v>
      </c>
      <c r="B33" s="25">
        <f>B32/B7</f>
        <v>1.0767427501124032</v>
      </c>
      <c r="C33" s="25">
        <f>(C32)/C7</f>
        <v>1.0669767252260247</v>
      </c>
      <c r="D33" s="25">
        <f>(D32)/D7</f>
        <v>1.0687320986915905</v>
      </c>
      <c r="E33" s="25">
        <f>(E32)/E7</f>
        <v>1.0704629001879036</v>
      </c>
      <c r="F33" s="25">
        <f>(F32)/F7</f>
        <v>1.0706989434778915</v>
      </c>
    </row>
    <row r="34" spans="1:6" x14ac:dyDescent="0.2">
      <c r="A34" s="24" t="s">
        <v>133</v>
      </c>
      <c r="B34" s="25">
        <f>0.016</f>
        <v>1.6E-2</v>
      </c>
      <c r="C34" s="25">
        <f t="shared" ref="C34:F34" si="2">0.016</f>
        <v>1.6E-2</v>
      </c>
      <c r="D34" s="25">
        <f t="shared" si="2"/>
        <v>1.6E-2</v>
      </c>
      <c r="E34" s="25">
        <f t="shared" si="2"/>
        <v>1.6E-2</v>
      </c>
      <c r="F34" s="25">
        <f t="shared" si="2"/>
        <v>1.6E-2</v>
      </c>
    </row>
  </sheetData>
  <mergeCells count="7">
    <mergeCell ref="A31:F31"/>
    <mergeCell ref="A1:F1"/>
    <mergeCell ref="A2:F2"/>
    <mergeCell ref="A5:F5"/>
    <mergeCell ref="A13:F13"/>
    <mergeCell ref="A19:F19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Income Statement</vt:lpstr>
      <vt:lpstr>Balance Sheet</vt:lpstr>
      <vt:lpstr>Cash Flow Statement</vt:lpstr>
      <vt:lpstr>Assumptions Sheet</vt:lpstr>
      <vt:lpstr>Projected P&amp;L</vt:lpstr>
      <vt:lpstr>Projected BS</vt:lpstr>
      <vt:lpstr>Projected 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Pompa Chakravarty</cp:lastModifiedBy>
  <cp:revision>0</cp:revision>
  <dcterms:created xsi:type="dcterms:W3CDTF">2026-05-07T10:59:13Z</dcterms:created>
  <dcterms:modified xsi:type="dcterms:W3CDTF">2026-05-20T20:07:05Z</dcterms:modified>
  <dc:language>en-US</dc:language>
</cp:coreProperties>
</file>
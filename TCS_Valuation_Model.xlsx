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ompachakravarty/Desktop/"/>
    </mc:Choice>
  </mc:AlternateContent>
  <xr:revisionPtr revIDLastSave="0" documentId="8_{AD51DF5E-3265-A84A-9070-A05C08161E24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DCF Valua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2" i="1" l="1"/>
  <c r="C38" i="1"/>
  <c r="D20" i="1"/>
  <c r="C20" i="1"/>
  <c r="D16" i="1"/>
  <c r="C16" i="1"/>
  <c r="G15" i="1"/>
  <c r="G16" i="1" s="1"/>
  <c r="G20" i="1" s="1"/>
  <c r="C24" i="1" s="1"/>
  <c r="F15" i="1"/>
  <c r="F16" i="1" s="1"/>
  <c r="F20" i="1" s="1"/>
  <c r="E15" i="1"/>
  <c r="E16" i="1" s="1"/>
  <c r="E20" i="1" s="1"/>
  <c r="D15" i="1"/>
  <c r="C15" i="1"/>
  <c r="C7" i="1"/>
  <c r="C11" i="1" s="1"/>
  <c r="C29" i="1" s="1"/>
  <c r="C25" i="1" l="1"/>
  <c r="C26" i="1" s="1"/>
  <c r="C30" i="1" s="1"/>
  <c r="C31" i="1" s="1"/>
  <c r="C40" i="1" s="1"/>
</calcChain>
</file>

<file path=xl/sharedStrings.xml><?xml version="1.0" encoding="utf-8"?>
<sst xmlns="http://schemas.openxmlformats.org/spreadsheetml/2006/main" count="71" uniqueCount="67">
  <si>
    <t>TATA CONSULTANCY SERVICES — DCF VALUATION MODEL    |    ₹ in Crores</t>
  </si>
  <si>
    <t>WACC ASSUMPTIONS</t>
  </si>
  <si>
    <t>Value</t>
  </si>
  <si>
    <t>Notes</t>
  </si>
  <si>
    <t>Risk-free Rate (Rf)</t>
  </si>
  <si>
    <t>10-yr GOI bond yield — Source: RBI</t>
  </si>
  <si>
    <t>Equity Risk Premium (ERP)</t>
  </si>
  <si>
    <t>India ERP — Source: Damodaran Jan 2025</t>
  </si>
  <si>
    <t>Beta (β)</t>
  </si>
  <si>
    <t>2-yr weekly regression, TCS vs Nifty 50</t>
  </si>
  <si>
    <t>Cost of Equity (Ke)</t>
  </si>
  <si>
    <t>rf + β × ERP  [formula]</t>
  </si>
  <si>
    <t>Debt Weight (D/V)</t>
  </si>
  <si>
    <t>TCS is near-zero financial debt</t>
  </si>
  <si>
    <t>Cost of Debt (Kd) pre-tax</t>
  </si>
  <si>
    <t>Lease implied rate</t>
  </si>
  <si>
    <t>Tax Rate</t>
  </si>
  <si>
    <t>Effective rate from income statement</t>
  </si>
  <si>
    <t>WACC</t>
  </si>
  <si>
    <t>(e/v)×Ke + (D/V)×Kd×(1–t)  [formula]</t>
  </si>
  <si>
    <t>FREE CASH FLOW TO FIRM (FCFF)   ₹ Cr</t>
  </si>
  <si>
    <t>FY2025E</t>
  </si>
  <si>
    <t>FY2026E</t>
  </si>
  <si>
    <t>FY2027E</t>
  </si>
  <si>
    <t>FY2028E</t>
  </si>
  <si>
    <t>FY2029E</t>
  </si>
  <si>
    <t>EBIT (Operating Profit)</t>
  </si>
  <si>
    <t xml:space="preserve">  × (1 – Tax Rate)</t>
  </si>
  <si>
    <t>NOPAT (Net Operating PAT)</t>
  </si>
  <si>
    <t xml:space="preserve">  + Depreciation &amp; Amortisation</t>
  </si>
  <si>
    <t xml:space="preserve">  – Capital Expenditure</t>
  </si>
  <si>
    <t xml:space="preserve">  – Change in Working Capital</t>
  </si>
  <si>
    <t>Free Cash Flow to Firm (FCFF)</t>
  </si>
  <si>
    <t>TERMINAL VALUE</t>
  </si>
  <si>
    <t>Notes / Formula</t>
  </si>
  <si>
    <t>Terminal Growth Rate (g)</t>
  </si>
  <si>
    <t>Base case — long-run IT services growth</t>
  </si>
  <si>
    <t>FCFF in Terminal Year (FY2029E)</t>
  </si>
  <si>
    <t>fcff fy2029e from above</t>
  </si>
  <si>
    <t>Terminal Value (Gordon Growth)</t>
  </si>
  <si>
    <t>fcff₂₀₂₉×(1+g) ÷ (WACC–g)</t>
  </si>
  <si>
    <t>PV of Terminal Value</t>
  </si>
  <si>
    <t>tv ÷ (1+WACC)⁵</t>
  </si>
  <si>
    <t>DCF ENTERPRISE &amp; EQUITY VALUE SUMMARY</t>
  </si>
  <si>
    <t>₹ Crores</t>
  </si>
  <si>
    <t>PV of Explicit FCFFs (FY25–29)</t>
  </si>
  <si>
    <t>Sum of discounted FCFFs at WACC</t>
  </si>
  <si>
    <t>Gordon growth model, discounted 5 yrs</t>
  </si>
  <si>
    <t>Enterprise Value (EV)</t>
  </si>
  <si>
    <t>PV FCFF + PV Terminal Value</t>
  </si>
  <si>
    <t xml:space="preserve">  + Cash &amp; Cash Equivalents</t>
  </si>
  <si>
    <t>FY2024A — Source: TCS Annual Report</t>
  </si>
  <si>
    <t xml:space="preserve">  + Short-Term Investments</t>
  </si>
  <si>
    <t xml:space="preserve">  – Long-Term Lease Liabilities</t>
  </si>
  <si>
    <t>FY2024A — includes IFRS 16 leases</t>
  </si>
  <si>
    <t xml:space="preserve">  – Current Lease Liabilities</t>
  </si>
  <si>
    <t>FY2024A</t>
  </si>
  <si>
    <t xml:space="preserve">  – Minority Interest</t>
  </si>
  <si>
    <t>FY2024A — NCI in TCS subsidiaries</t>
  </si>
  <si>
    <t>Net Cash / Debt Adjustment</t>
  </si>
  <si>
    <t>cash+sti–LeaseDebt–MinorityInterest</t>
  </si>
  <si>
    <t>Equity Value</t>
  </si>
  <si>
    <t>EV + Net Cash Adjustment</t>
  </si>
  <si>
    <t>Shares Outstanding (Cr)</t>
  </si>
  <si>
    <t>FY2024A — Source: NSE filings</t>
  </si>
  <si>
    <t>Implied Share Price (₹)</t>
  </si>
  <si>
    <t>Equity Value ÷ Shares (₹ Cr → ₹ per share)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</si>
</sst>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-0.0%;\-"/>
    <numFmt numFmtId="165" formatCode="#,##0;\(#,##0\);\-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i/>
      <sz val="8"/>
      <color rgb="FF666666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8F0FE"/>
        <bgColor rgb="FFE8F6EE"/>
      </patternFill>
    </fill>
    <fill>
      <patternFill patternType="solid">
        <fgColor rgb="FFFFFFFF"/>
        <bgColor rgb="FFF5F5F5"/>
      </patternFill>
    </fill>
    <fill>
      <patternFill patternType="solid">
        <fgColor rgb="FFE8F6EE"/>
        <bgColor rgb="FFE8F0FE"/>
      </patternFill>
    </fill>
    <fill>
      <patternFill patternType="solid">
        <fgColor rgb="FFF5F5F5"/>
        <bgColor rgb="FFE8F6EE"/>
      </patternFill>
    </fill>
    <fill>
      <patternFill patternType="solid">
        <fgColor rgb="FFFEF3E2"/>
        <bgColor rgb="FFF5F5F5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 indent="2"/>
    </xf>
    <xf numFmtId="0" fontId="3" fillId="7" borderId="2" xfId="0" applyFont="1" applyFill="1" applyBorder="1" applyAlignment="1">
      <alignment horizontal="left" vertical="center" indent="2"/>
    </xf>
    <xf numFmtId="0" fontId="3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4" fontId="7" fillId="7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165" fontId="7" fillId="8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555555"/>
      <rgbColor rgb="FF9999FF"/>
      <rgbColor rgb="FF993366"/>
      <rgbColor rgb="FFFEF3E2"/>
      <rgbColor rgb="FFE8F6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5F5F5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66"/>
      <rgbColor rgb="FF999999"/>
      <rgbColor rgb="FF16213E"/>
      <rgbColor rgb="FF339966"/>
      <rgbColor rgb="FF003300"/>
      <rgbColor rgb="FF1A1A2E"/>
      <rgbColor rgb="FF993300"/>
      <rgbColor rgb="FF993366"/>
      <rgbColor rgb="FF2D4A6B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showGridLines="0" tabSelected="1" zoomScale="133" zoomScaleNormal="100" workbookViewId="0">
      <pane xSplit="1" ySplit="2" topLeftCell="B79" activePane="bottomRight" state="frozen"/>
      <selection pane="topRight" activeCell="B1" sqref="B1"/>
      <selection pane="bottomLeft" activeCell="A3" sqref="A3"/>
      <selection pane="bottomRight" activeCell="J30" sqref="J30"/>
    </sheetView>
  </sheetViews>
  <sheetFormatPr baseColWidth="10" defaultColWidth="8.6640625" defaultRowHeight="15" x14ac:dyDescent="0.2"/>
  <cols>
    <col min="1" max="1" width="55.33203125" customWidth="1"/>
    <col min="2" max="2" width="15" customWidth="1"/>
    <col min="3" max="7" width="16" customWidth="1"/>
  </cols>
  <sheetData>
    <row r="1" spans="1:7" ht="27.75" customHeight="1" x14ac:dyDescent="0.2">
      <c r="A1" s="11" t="s">
        <v>0</v>
      </c>
      <c r="B1" s="11"/>
      <c r="C1" s="11"/>
      <c r="D1" s="11"/>
      <c r="E1" s="11"/>
      <c r="F1" s="11"/>
      <c r="G1" s="11"/>
    </row>
    <row r="3" spans="1:7" ht="19.5" customHeight="1" x14ac:dyDescent="0.2">
      <c r="A3" s="10" t="s">
        <v>1</v>
      </c>
      <c r="B3" s="10"/>
      <c r="C3" s="12" t="s">
        <v>2</v>
      </c>
      <c r="D3" s="9" t="s">
        <v>3</v>
      </c>
      <c r="E3" s="9"/>
      <c r="F3" s="9"/>
      <c r="G3" s="9"/>
    </row>
    <row r="4" spans="1:7" ht="18" customHeight="1" x14ac:dyDescent="0.2">
      <c r="A4" s="8" t="s">
        <v>4</v>
      </c>
      <c r="B4" s="8"/>
      <c r="C4" s="13">
        <v>7.0999999999999994E-2</v>
      </c>
      <c r="D4" s="7" t="s">
        <v>5</v>
      </c>
      <c r="E4" s="7"/>
      <c r="F4" s="7"/>
      <c r="G4" s="7"/>
    </row>
    <row r="5" spans="1:7" ht="18" customHeight="1" x14ac:dyDescent="0.2">
      <c r="A5" s="8" t="s">
        <v>6</v>
      </c>
      <c r="B5" s="8"/>
      <c r="C5" s="13">
        <v>0.08</v>
      </c>
      <c r="D5" s="7" t="s">
        <v>7</v>
      </c>
      <c r="E5" s="7"/>
      <c r="F5" s="7"/>
      <c r="G5" s="7"/>
    </row>
    <row r="6" spans="1:7" ht="18" customHeight="1" x14ac:dyDescent="0.2">
      <c r="A6" s="8" t="s">
        <v>8</v>
      </c>
      <c r="B6" s="8"/>
      <c r="C6" s="14">
        <v>0.7</v>
      </c>
      <c r="D6" s="7" t="s">
        <v>9</v>
      </c>
      <c r="E6" s="7"/>
      <c r="F6" s="7"/>
      <c r="G6" s="7"/>
    </row>
    <row r="7" spans="1:7" ht="18" customHeight="1" x14ac:dyDescent="0.2">
      <c r="A7" s="6" t="s">
        <v>10</v>
      </c>
      <c r="B7" s="6"/>
      <c r="C7" s="15">
        <f>C4+C6*C5</f>
        <v>0.127</v>
      </c>
      <c r="D7" s="7" t="s">
        <v>11</v>
      </c>
      <c r="E7" s="7"/>
      <c r="F7" s="7"/>
      <c r="G7" s="7"/>
    </row>
    <row r="8" spans="1:7" ht="18" customHeight="1" x14ac:dyDescent="0.2">
      <c r="A8" s="8" t="s">
        <v>12</v>
      </c>
      <c r="B8" s="8"/>
      <c r="C8" s="13">
        <v>0.02</v>
      </c>
      <c r="D8" s="7" t="s">
        <v>13</v>
      </c>
      <c r="E8" s="7"/>
      <c r="F8" s="7"/>
      <c r="G8" s="7"/>
    </row>
    <row r="9" spans="1:7" ht="18" customHeight="1" x14ac:dyDescent="0.2">
      <c r="A9" s="8" t="s">
        <v>14</v>
      </c>
      <c r="B9" s="8"/>
      <c r="C9" s="13">
        <v>7.4999999999999997E-2</v>
      </c>
      <c r="D9" s="7" t="s">
        <v>15</v>
      </c>
      <c r="E9" s="7"/>
      <c r="F9" s="7"/>
      <c r="G9" s="7"/>
    </row>
    <row r="10" spans="1:7" ht="18" customHeight="1" x14ac:dyDescent="0.2">
      <c r="A10" s="8" t="s">
        <v>16</v>
      </c>
      <c r="B10" s="8"/>
      <c r="C10" s="13">
        <v>0.255</v>
      </c>
      <c r="D10" s="7" t="s">
        <v>17</v>
      </c>
      <c r="E10" s="7"/>
      <c r="F10" s="7"/>
      <c r="G10" s="7"/>
    </row>
    <row r="11" spans="1:7" ht="18" customHeight="1" x14ac:dyDescent="0.2">
      <c r="A11" s="6" t="s">
        <v>18</v>
      </c>
      <c r="B11" s="6"/>
      <c r="C11" s="15">
        <f>(1-C8)*C7+C8*C9*(1-C10)</f>
        <v>0.12557750000000001</v>
      </c>
      <c r="D11" s="7" t="s">
        <v>19</v>
      </c>
      <c r="E11" s="7"/>
      <c r="F11" s="7"/>
      <c r="G11" s="7"/>
    </row>
    <row r="13" spans="1:7" ht="19.5" customHeight="1" x14ac:dyDescent="0.2">
      <c r="A13" s="10" t="s">
        <v>20</v>
      </c>
      <c r="B13" s="10"/>
      <c r="C13" s="12" t="s">
        <v>21</v>
      </c>
      <c r="D13" s="12" t="s">
        <v>22</v>
      </c>
      <c r="E13" s="12" t="s">
        <v>23</v>
      </c>
      <c r="F13" s="12" t="s">
        <v>24</v>
      </c>
      <c r="G13" s="12" t="s">
        <v>25</v>
      </c>
    </row>
    <row r="14" spans="1:7" ht="18" customHeight="1" x14ac:dyDescent="0.2">
      <c r="A14" s="5" t="s">
        <v>26</v>
      </c>
      <c r="B14" s="5"/>
      <c r="C14" s="16">
        <v>58298</v>
      </c>
      <c r="D14" s="16">
        <v>63161</v>
      </c>
      <c r="E14" s="16">
        <v>75557</v>
      </c>
      <c r="F14" s="16">
        <v>88954</v>
      </c>
      <c r="G14" s="16">
        <v>94233</v>
      </c>
    </row>
    <row r="15" spans="1:7" ht="18" customHeight="1" x14ac:dyDescent="0.2">
      <c r="A15" s="4" t="s">
        <v>27</v>
      </c>
      <c r="B15" s="4"/>
      <c r="C15" s="17">
        <f>(1-C10)</f>
        <v>0.745</v>
      </c>
      <c r="D15" s="17">
        <f>(1-C10)</f>
        <v>0.745</v>
      </c>
      <c r="E15" s="17">
        <f>(1-C10)</f>
        <v>0.745</v>
      </c>
      <c r="F15" s="17">
        <f>(1-C10)</f>
        <v>0.745</v>
      </c>
      <c r="G15" s="17">
        <f>(1-C10)</f>
        <v>0.745</v>
      </c>
    </row>
    <row r="16" spans="1:7" ht="18" customHeight="1" x14ac:dyDescent="0.2">
      <c r="A16" s="6" t="s">
        <v>28</v>
      </c>
      <c r="B16" s="6"/>
      <c r="C16" s="18">
        <f>C14*C15</f>
        <v>43432.01</v>
      </c>
      <c r="D16" s="18">
        <f>D14*D15</f>
        <v>47054.945</v>
      </c>
      <c r="E16" s="18">
        <f>E14*E15</f>
        <v>56289.964999999997</v>
      </c>
      <c r="F16" s="18">
        <f>F14*F15</f>
        <v>66270.73</v>
      </c>
      <c r="G16" s="18">
        <f>G14*G15</f>
        <v>70203.585000000006</v>
      </c>
    </row>
    <row r="17" spans="1:10" ht="18" customHeight="1" x14ac:dyDescent="0.2">
      <c r="A17" s="3" t="s">
        <v>29</v>
      </c>
      <c r="B17" s="3"/>
      <c r="C17" s="16">
        <v>3527</v>
      </c>
      <c r="D17" s="16">
        <v>3579</v>
      </c>
      <c r="E17" s="16">
        <v>4219</v>
      </c>
      <c r="F17" s="16">
        <v>4960</v>
      </c>
      <c r="G17" s="16">
        <v>5251</v>
      </c>
    </row>
    <row r="18" spans="1:10" ht="18" customHeight="1" x14ac:dyDescent="0.2">
      <c r="A18" s="3" t="s">
        <v>30</v>
      </c>
      <c r="B18" s="3"/>
      <c r="C18" s="16">
        <v>-2687</v>
      </c>
      <c r="D18" s="16">
        <v>-2863</v>
      </c>
      <c r="E18" s="16">
        <v>-3375</v>
      </c>
      <c r="F18" s="16">
        <v>-3968</v>
      </c>
      <c r="G18" s="16">
        <v>-4201</v>
      </c>
    </row>
    <row r="19" spans="1:10" ht="18" customHeight="1" x14ac:dyDescent="0.2">
      <c r="A19" s="3" t="s">
        <v>31</v>
      </c>
      <c r="B19" s="3"/>
      <c r="C19" s="16">
        <v>-1800</v>
      </c>
      <c r="D19" s="16">
        <v>-2000</v>
      </c>
      <c r="E19" s="16">
        <v>-2200</v>
      </c>
      <c r="F19" s="16">
        <v>-2500</v>
      </c>
      <c r="G19" s="16">
        <v>-2500</v>
      </c>
    </row>
    <row r="20" spans="1:10" ht="18" customHeight="1" x14ac:dyDescent="0.2">
      <c r="A20" s="6" t="s">
        <v>32</v>
      </c>
      <c r="B20" s="6"/>
      <c r="C20" s="19">
        <f>C16+C17+C18+C19</f>
        <v>42472.01</v>
      </c>
      <c r="D20" s="19">
        <f>D16+D17+D18+D19</f>
        <v>45770.945</v>
      </c>
      <c r="E20" s="19">
        <f>E16+E17+E18+E19</f>
        <v>54933.964999999997</v>
      </c>
      <c r="F20" s="19">
        <f>F16+F17+F18+F19</f>
        <v>64762.729999999996</v>
      </c>
      <c r="G20" s="19">
        <f>G16+G17+G18+G19</f>
        <v>68753.585000000006</v>
      </c>
    </row>
    <row r="22" spans="1:10" ht="19.5" customHeight="1" x14ac:dyDescent="0.2">
      <c r="A22" s="10" t="s">
        <v>33</v>
      </c>
      <c r="B22" s="10"/>
      <c r="C22" s="12" t="s">
        <v>2</v>
      </c>
      <c r="D22" s="9" t="s">
        <v>34</v>
      </c>
      <c r="E22" s="9"/>
      <c r="F22" s="9"/>
      <c r="G22" s="9"/>
    </row>
    <row r="23" spans="1:10" ht="18" customHeight="1" x14ac:dyDescent="0.2">
      <c r="A23" s="2" t="s">
        <v>35</v>
      </c>
      <c r="B23" s="2"/>
      <c r="C23" s="13">
        <v>0.06</v>
      </c>
      <c r="D23" s="7" t="s">
        <v>36</v>
      </c>
      <c r="E23" s="7"/>
      <c r="F23" s="7"/>
      <c r="G23" s="7"/>
    </row>
    <row r="24" spans="1:10" ht="18" customHeight="1" x14ac:dyDescent="0.2">
      <c r="A24" s="2" t="s">
        <v>37</v>
      </c>
      <c r="B24" s="2"/>
      <c r="C24" s="20">
        <f>G20</f>
        <v>68753.585000000006</v>
      </c>
      <c r="D24" s="7" t="s">
        <v>38</v>
      </c>
      <c r="E24" s="7"/>
      <c r="F24" s="7"/>
      <c r="G24" s="7"/>
    </row>
    <row r="25" spans="1:10" ht="18" customHeight="1" x14ac:dyDescent="0.2">
      <c r="A25" s="1" t="s">
        <v>39</v>
      </c>
      <c r="B25" s="1"/>
      <c r="C25" s="20">
        <f>C24*(1+C23)/(C11-C23)</f>
        <v>1111338.4941481452</v>
      </c>
      <c r="D25" s="7" t="s">
        <v>40</v>
      </c>
      <c r="E25" s="7"/>
      <c r="F25" s="7"/>
      <c r="G25" s="7"/>
    </row>
    <row r="26" spans="1:10" ht="18" customHeight="1" x14ac:dyDescent="0.2">
      <c r="A26" s="1" t="s">
        <v>41</v>
      </c>
      <c r="B26" s="1"/>
      <c r="C26" s="18">
        <f>C25/(1+C11)^5</f>
        <v>615133.44747988658</v>
      </c>
      <c r="D26" s="7" t="s">
        <v>42</v>
      </c>
      <c r="E26" s="7"/>
      <c r="F26" s="7"/>
      <c r="G26" s="7"/>
    </row>
    <row r="28" spans="1:10" ht="19.5" customHeight="1" x14ac:dyDescent="0.2">
      <c r="A28" s="10" t="s">
        <v>43</v>
      </c>
      <c r="B28" s="10"/>
      <c r="C28" s="12" t="s">
        <v>44</v>
      </c>
      <c r="D28" s="9" t="s">
        <v>3</v>
      </c>
      <c r="E28" s="9"/>
      <c r="F28" s="9"/>
      <c r="G28" s="9"/>
    </row>
    <row r="29" spans="1:10" ht="18" customHeight="1" x14ac:dyDescent="0.2">
      <c r="A29" s="6" t="s">
        <v>45</v>
      </c>
      <c r="B29" s="6"/>
      <c r="C29" s="18">
        <f>C20/(1+C11)^1+D20/(1+C11)^2+E20/(1+C11)^3+F20/(1+C11)^4+G20/(1+C11)^5</f>
        <v>190787.36934362582</v>
      </c>
      <c r="D29" s="7" t="s">
        <v>46</v>
      </c>
      <c r="E29" s="7"/>
      <c r="F29" s="7"/>
      <c r="G29" s="7"/>
    </row>
    <row r="30" spans="1:10" ht="18" customHeight="1" x14ac:dyDescent="0.2">
      <c r="A30" s="6" t="s">
        <v>41</v>
      </c>
      <c r="B30" s="6"/>
      <c r="C30" s="18">
        <f>C26</f>
        <v>615133.44747988658</v>
      </c>
      <c r="D30" s="7" t="s">
        <v>47</v>
      </c>
      <c r="E30" s="7"/>
      <c r="F30" s="7"/>
      <c r="G30" s="7"/>
      <c r="J30">
        <v>3</v>
      </c>
    </row>
    <row r="31" spans="1:10" ht="18" customHeight="1" x14ac:dyDescent="0.2">
      <c r="A31" s="6" t="s">
        <v>48</v>
      </c>
      <c r="B31" s="6"/>
      <c r="C31" s="21">
        <f>C29+C30</f>
        <v>805920.81682351243</v>
      </c>
      <c r="D31" s="7" t="s">
        <v>49</v>
      </c>
      <c r="E31" s="7"/>
      <c r="F31" s="7"/>
      <c r="G31" s="7"/>
    </row>
    <row r="32" spans="1:10" ht="6" customHeight="1" x14ac:dyDescent="0.2"/>
    <row r="33" spans="1:7" ht="18" customHeight="1" x14ac:dyDescent="0.2">
      <c r="A33" s="3" t="s">
        <v>50</v>
      </c>
      <c r="B33" s="3"/>
      <c r="C33" s="22">
        <v>14555</v>
      </c>
      <c r="D33" s="7" t="s">
        <v>51</v>
      </c>
      <c r="E33" s="7"/>
      <c r="F33" s="7"/>
      <c r="G33" s="7"/>
    </row>
    <row r="34" spans="1:7" ht="18" customHeight="1" x14ac:dyDescent="0.2">
      <c r="A34" s="3" t="s">
        <v>52</v>
      </c>
      <c r="B34" s="3"/>
      <c r="C34" s="22">
        <v>34567</v>
      </c>
      <c r="D34" s="7" t="s">
        <v>51</v>
      </c>
      <c r="E34" s="7"/>
      <c r="F34" s="7"/>
      <c r="G34" s="7"/>
    </row>
    <row r="35" spans="1:7" ht="18" customHeight="1" x14ac:dyDescent="0.2">
      <c r="A35" s="3" t="s">
        <v>53</v>
      </c>
      <c r="B35" s="3"/>
      <c r="C35" s="22">
        <v>-6516</v>
      </c>
      <c r="D35" s="7" t="s">
        <v>54</v>
      </c>
      <c r="E35" s="7"/>
      <c r="F35" s="7"/>
      <c r="G35" s="7"/>
    </row>
    <row r="36" spans="1:7" ht="18" customHeight="1" x14ac:dyDescent="0.2">
      <c r="A36" s="3" t="s">
        <v>55</v>
      </c>
      <c r="B36" s="3"/>
      <c r="C36" s="22">
        <v>-1505</v>
      </c>
      <c r="D36" s="7" t="s">
        <v>56</v>
      </c>
      <c r="E36" s="7"/>
      <c r="F36" s="7"/>
      <c r="G36" s="7"/>
    </row>
    <row r="37" spans="1:7" ht="18" customHeight="1" x14ac:dyDescent="0.2">
      <c r="A37" s="3" t="s">
        <v>57</v>
      </c>
      <c r="B37" s="3"/>
      <c r="C37" s="22">
        <v>-830</v>
      </c>
      <c r="D37" s="7" t="s">
        <v>58</v>
      </c>
      <c r="E37" s="7"/>
      <c r="F37" s="7"/>
      <c r="G37" s="7"/>
    </row>
    <row r="38" spans="1:7" ht="18" customHeight="1" x14ac:dyDescent="0.2">
      <c r="A38" s="6" t="s">
        <v>59</v>
      </c>
      <c r="B38" s="6"/>
      <c r="C38" s="21">
        <f>C33+C34+C35+C36+C37</f>
        <v>40271</v>
      </c>
      <c r="D38" s="7" t="s">
        <v>60</v>
      </c>
      <c r="E38" s="7"/>
      <c r="F38" s="7"/>
      <c r="G38" s="7"/>
    </row>
    <row r="39" spans="1:7" ht="6" customHeight="1" x14ac:dyDescent="0.2"/>
    <row r="40" spans="1:7" ht="18" customHeight="1" x14ac:dyDescent="0.2">
      <c r="A40" s="6" t="s">
        <v>61</v>
      </c>
      <c r="B40" s="6"/>
      <c r="C40" s="21">
        <f>C31+C38</f>
        <v>846191.81682351243</v>
      </c>
      <c r="D40" s="7" t="s">
        <v>62</v>
      </c>
      <c r="E40" s="7"/>
      <c r="F40" s="7"/>
      <c r="G40" s="7"/>
    </row>
    <row r="41" spans="1:7" ht="18" customHeight="1" x14ac:dyDescent="0.2">
      <c r="A41" s="5" t="s">
        <v>63</v>
      </c>
      <c r="B41" s="5"/>
      <c r="C41" s="23">
        <v>362</v>
      </c>
      <c r="D41" s="7" t="s">
        <v>64</v>
      </c>
      <c r="E41" s="7"/>
      <c r="F41" s="7"/>
      <c r="G41" s="7"/>
    </row>
    <row r="42" spans="1:7" ht="18" customHeight="1" x14ac:dyDescent="0.2">
      <c r="A42" s="6" t="s">
        <v>65</v>
      </c>
      <c r="B42" s="6"/>
      <c r="C42" s="21">
        <f>C40/C41</f>
        <v>2337.5464553135703</v>
      </c>
      <c r="D42" s="7" t="s">
        <v>66</v>
      </c>
      <c r="E42" s="7"/>
      <c r="F42" s="7"/>
      <c r="G42" s="7"/>
    </row>
  </sheetData>
  <mergeCells count="63">
    <mergeCell ref="A40:B40"/>
    <mergeCell ref="D40:G40"/>
    <mergeCell ref="A41:B41"/>
    <mergeCell ref="D41:G41"/>
    <mergeCell ref="A42:B42"/>
    <mergeCell ref="D42:G42"/>
    <mergeCell ref="A36:B36"/>
    <mergeCell ref="D36:G36"/>
    <mergeCell ref="A37:B37"/>
    <mergeCell ref="D37:G37"/>
    <mergeCell ref="A38:B38"/>
    <mergeCell ref="D38:G38"/>
    <mergeCell ref="A33:B33"/>
    <mergeCell ref="D33:G33"/>
    <mergeCell ref="A34:B34"/>
    <mergeCell ref="D34:G34"/>
    <mergeCell ref="A35:B35"/>
    <mergeCell ref="D35:G35"/>
    <mergeCell ref="A29:B29"/>
    <mergeCell ref="D29:G29"/>
    <mergeCell ref="A30:B30"/>
    <mergeCell ref="D30:G30"/>
    <mergeCell ref="A31:B31"/>
    <mergeCell ref="D31:G31"/>
    <mergeCell ref="A25:B25"/>
    <mergeCell ref="D25:G25"/>
    <mergeCell ref="A26:B26"/>
    <mergeCell ref="D26:G26"/>
    <mergeCell ref="A28:B28"/>
    <mergeCell ref="D28:G28"/>
    <mergeCell ref="A22:B22"/>
    <mergeCell ref="D22:G22"/>
    <mergeCell ref="A23:B23"/>
    <mergeCell ref="D23:G23"/>
    <mergeCell ref="A24:B24"/>
    <mergeCell ref="D24:G24"/>
    <mergeCell ref="A16:B16"/>
    <mergeCell ref="A17:B17"/>
    <mergeCell ref="A18:B18"/>
    <mergeCell ref="A19:B19"/>
    <mergeCell ref="A20:B20"/>
    <mergeCell ref="A11:B11"/>
    <mergeCell ref="D11:G11"/>
    <mergeCell ref="A13:B13"/>
    <mergeCell ref="A14:B14"/>
    <mergeCell ref="A15:B15"/>
    <mergeCell ref="A8:B8"/>
    <mergeCell ref="D8:G8"/>
    <mergeCell ref="A9:B9"/>
    <mergeCell ref="D9:G9"/>
    <mergeCell ref="A10:B10"/>
    <mergeCell ref="D10:G10"/>
    <mergeCell ref="A5:B5"/>
    <mergeCell ref="D5:G5"/>
    <mergeCell ref="A6:B6"/>
    <mergeCell ref="D6:G6"/>
    <mergeCell ref="A7:B7"/>
    <mergeCell ref="D7:G7"/>
    <mergeCell ref="A1:G1"/>
    <mergeCell ref="A3:B3"/>
    <mergeCell ref="D3:G3"/>
    <mergeCell ref="A4:B4"/>
    <mergeCell ref="D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Pompa Chakravarty</cp:lastModifiedBy>
  <cp:revision>0</cp:revision>
  <dcterms:created xsi:type="dcterms:W3CDTF">2026-05-20T18:33:31Z</dcterms:created>
  <dcterms:modified xsi:type="dcterms:W3CDTF">2026-06-17T15:50:10Z</dcterms:modified>
  <dc:language>en-US</dc:language>
</cp:coreProperties>
</file>